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₹&quot;\ #,##0.00"/>
    <numFmt numFmtId="165" formatCode="&quot;₹&quot;\ #,##0.00;[Red]&quot;₹&quot;\ \-#,##0.00"/>
    <numFmt numFmtId="166" formatCode="_ * #,##0.00_ ;_ * \-#,##0.00_ ;_ * &quot;-&quot;??_ ;_ @_ "/>
    <numFmt numFmtId="167" formatCode="[$-F800]dddd\,\ mmmm\ dd\,\ yyyy"/>
  </numFmts>
  <fonts count="1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scheme val="minor"/>
    </font>
    <font>
      <name val="Calibri"/>
      <charset val="134"/>
      <b val="1"/>
      <color indexed="8"/>
      <sz val="11"/>
    </font>
    <font>
      <name val="Calibri"/>
      <charset val="134"/>
      <b val="1"/>
      <color theme="1"/>
      <sz val="11"/>
    </font>
    <font>
      <name val="Calibri"/>
      <charset val="134"/>
      <b val="1"/>
      <color theme="0"/>
      <sz val="11"/>
      <scheme val="minor"/>
    </font>
    <font>
      <name val="Calibri"/>
      <charset val="134"/>
      <color theme="10"/>
      <sz val="11"/>
      <u val="single"/>
      <scheme val="minor"/>
    </font>
    <font>
      <name val="Calibri"/>
      <charset val="134"/>
      <color rgb="FF000000"/>
      <sz val="11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color rgb="FF9C0006"/>
      <sz val="11"/>
      <scheme val="minor"/>
    </font>
    <font>
      <name val="Calibri"/>
      <charset val="134"/>
      <color rgb="FF313131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134"/>
      <color theme="0"/>
      <sz val="11"/>
      <scheme val="minor"/>
    </font>
    <font>
      <name val="Calibri"/>
      <charset val="134"/>
      <color theme="1"/>
      <sz val="11"/>
      <scheme val="minor"/>
    </font>
    <font>
      <name val="Calibri"/>
      <b val="1"/>
      <sz val="11"/>
    </font>
  </fonts>
  <fills count="16">
    <fill>
      <patternFill/>
    </fill>
    <fill>
      <patternFill patternType="gray125"/>
    </fill>
    <fill>
      <patternFill patternType="solid">
        <fgColor theme="9" tint="0.3998840296639912"/>
        <bgColor indexed="64"/>
      </patternFill>
    </fill>
    <fill>
      <patternFill patternType="solid">
        <fgColor theme="9" tint="0.799890133365886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890133365886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798577837458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/>
    </border>
  </borders>
  <cellStyleXfs count="6">
    <xf numFmtId="0" fontId="14" fillId="0" borderId="0"/>
    <xf numFmtId="43" fontId="14" fillId="0" borderId="0"/>
    <xf numFmtId="0" fontId="6" fillId="0" borderId="0"/>
    <xf numFmtId="0" fontId="12" fillId="12" borderId="0"/>
    <xf numFmtId="0" fontId="13" fillId="5" borderId="0"/>
    <xf numFmtId="0" fontId="13" fillId="4" borderId="0"/>
  </cellStyleXfs>
  <cellXfs count="118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17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164" fontId="5" fillId="4" borderId="1" applyAlignment="1" pivotButton="0" quotePrefix="0" xfId="5">
      <alignment horizontal="center" vertical="center"/>
    </xf>
    <xf numFmtId="164" fontId="5" fillId="5" borderId="1" applyAlignment="1" pivotButton="0" quotePrefix="0" xfId="4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5" fillId="5" borderId="1" applyAlignment="1" pivotButton="0" quotePrefix="0" xfId="4">
      <alignment horizontal="left" vertical="center"/>
    </xf>
    <xf numFmtId="0" fontId="1" fillId="0" borderId="1" applyAlignment="1" pivotButton="0" quotePrefix="0" xfId="0">
      <alignment horizontal="left" vertical="center"/>
    </xf>
    <xf numFmtId="9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7" fontId="1" fillId="0" borderId="1" applyAlignment="1" pivotButton="0" quotePrefix="0" xfId="0">
      <alignment horizontal="center" vertical="center"/>
    </xf>
    <xf numFmtId="166" fontId="0" fillId="0" borderId="1" applyAlignment="1" pivotButton="0" quotePrefix="0" xfId="1">
      <alignment horizontal="center" vertical="center"/>
    </xf>
    <xf numFmtId="4" fontId="0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5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vertical="center"/>
    </xf>
    <xf numFmtId="4" fontId="0" fillId="0" borderId="0" applyAlignment="1" pivotButton="0" quotePrefix="0" xfId="0">
      <alignment horizontal="center" vertical="center"/>
    </xf>
    <xf numFmtId="17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7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left" vertical="center" wrapText="1"/>
    </xf>
    <xf numFmtId="16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22" fontId="1" fillId="9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right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right" wrapText="1"/>
    </xf>
    <xf numFmtId="3" fontId="0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wrapText="1"/>
    </xf>
    <xf numFmtId="0" fontId="1" fillId="15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3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3" fontId="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2" borderId="1" applyAlignment="1" pivotButton="0" quotePrefix="0" xfId="3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15" borderId="1" applyAlignment="1" pivotButton="0" quotePrefix="0" xfId="0">
      <alignment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4" borderId="1" applyAlignment="1" pivotButton="0" quotePrefix="0" xfId="5">
      <alignment horizontal="center" vertical="center"/>
    </xf>
    <xf numFmtId="164" fontId="5" fillId="5" borderId="1" applyAlignment="1" pivotButton="0" quotePrefix="0" xfId="4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5" fillId="0" borderId="0" pivotButton="0" quotePrefix="0" xfId="0"/>
    <xf numFmtId="166" fontId="0" fillId="0" borderId="1" applyAlignment="1" pivotButton="0" quotePrefix="0" xfId="1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wrapText="1"/>
    </xf>
    <xf numFmtId="0" fontId="1" fillId="0" borderId="10" applyAlignment="1" pivotButton="0" quotePrefix="0" xfId="0">
      <alignment horizontal="right" wrapText="1"/>
    </xf>
    <xf numFmtId="0" fontId="0" fillId="0" borderId="10" applyAlignment="1" pivotButton="0" quotePrefix="0" xfId="0">
      <alignment wrapText="1"/>
    </xf>
    <xf numFmtId="0" fontId="0" fillId="0" borderId="10" applyAlignment="1" pivotButton="0" quotePrefix="0" xfId="0">
      <alignment horizontal="right" wrapText="1"/>
    </xf>
    <xf numFmtId="3" fontId="0" fillId="0" borderId="10" applyAlignment="1" pivotButton="0" quotePrefix="0" xfId="0">
      <alignment horizontal="right" wrapText="1"/>
    </xf>
    <xf numFmtId="0" fontId="1" fillId="0" borderId="10" applyAlignment="1" pivotButton="0" quotePrefix="0" xfId="0">
      <alignment wrapText="1"/>
    </xf>
  </cellXfs>
  <cellStyles count="6">
    <cellStyle name="Normal" xfId="0" builtinId="0"/>
    <cellStyle name="Comma" xfId="1" builtinId="3"/>
    <cellStyle name="Hyperlink" xfId="2" builtinId="8"/>
    <cellStyle name="Bad" xfId="3" builtinId="27"/>
    <cellStyle name="Accent1" xfId="4" builtinId="29"/>
    <cellStyle name="Accent2" xfId="5" builtinId="33"/>
  </cellStyles>
  <dxfs count="9">
    <dxf>
      <font>
        <name val="Tahoma"/>
        <family val="2"/>
        <strike val="0"/>
        <color theme="1"/>
        <sz val="12"/>
      </font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Tahoma"/>
        <family val="2"/>
        <strike val="0"/>
        <color theme="1"/>
        <sz val="12"/>
      </font>
      <numFmt numFmtId="167" formatCode="[$-F800]dddd\,\ mmmm\ dd\,\ yyyy"/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numFmt numFmtId="166" formatCode="&quot;₹&quot;\ #,##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numFmt numFmtId="166" formatCode="&quot;₹&quot;\ #,##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numFmt numFmtId="166" formatCode="&quot;₹&quot;\ #,##0.0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family val="2"/>
        <b val="1"/>
        <strike val="0"/>
        <color theme="1"/>
        <sz val="11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E1:K10" headerRowCount="1" totalsRowCount="1">
  <tableColumns count="7">
    <tableColumn id="1" name="TRADELINES" dataDxfId="8"/>
    <tableColumn id="2" name="MEMBER NAME" totalsRowFunction="count" dataDxfId="7"/>
    <tableColumn id="3" name="SANCTION AMOUNT" totalsRowFunction="sum" dataDxfId="6"/>
    <tableColumn id="4" name="CURRENT BALANCE" totalsRowFunction="sum" dataDxfId="5"/>
    <tableColumn id="5" name="EMI AMOUNT" totalsRowFunction="sum" dataDxfId="4"/>
    <tableColumn id="6" name="START" dataDxfId="3"/>
    <tableColumn id="7" name="CLOSED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E44:F50" headerRowCount="1" totalsRowShown="0">
  <autoFilter ref="E44:F50"/>
  <tableColumns count="2">
    <tableColumn id="1" name="DATE" dataDxfId="1"/>
    <tableColumn id="2" name="CHARG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01"/>
  <sheetViews>
    <sheetView tabSelected="1" zoomScale="94" zoomScaleNormal="94" workbookViewId="0">
      <selection activeCell="F50" sqref="F50"/>
    </sheetView>
  </sheetViews>
  <sheetFormatPr baseColWidth="8" defaultColWidth="9" defaultRowHeight="14.4"/>
  <cols>
    <col width="45.6640625" customWidth="1" min="1" max="1"/>
    <col width="39.33203125" customWidth="1" min="2" max="2"/>
    <col width="46" customWidth="1" min="3" max="3"/>
    <col width="1" customWidth="1" min="4" max="4"/>
    <col width="33.21875" customWidth="1" min="5" max="5"/>
    <col width="19.5546875" customWidth="1" min="6" max="11"/>
  </cols>
  <sheetData>
    <row r="1" ht="15" customHeight="1">
      <c r="A1" s="64" t="inlineStr">
        <is>
          <t>DETAILS SHEET FOR PROFESSIONAL LOAN</t>
        </is>
      </c>
      <c r="B1" s="94" t="n"/>
      <c r="C1" s="95" t="n"/>
      <c r="D1" s="1" t="n"/>
      <c r="E1" s="2" t="inlineStr">
        <is>
          <t>TRADELINES</t>
        </is>
      </c>
      <c r="F1" s="3" t="inlineStr">
        <is>
          <t>MEMBER NAME</t>
        </is>
      </c>
      <c r="G1" s="3" t="inlineStr">
        <is>
          <t>SANCTION AMOUNT</t>
        </is>
      </c>
      <c r="H1" s="3" t="inlineStr">
        <is>
          <t>CURRENT BALANCE</t>
        </is>
      </c>
      <c r="I1" s="3" t="inlineStr">
        <is>
          <t>EMI AMOUNT</t>
        </is>
      </c>
      <c r="J1" s="3" t="inlineStr">
        <is>
          <t>START</t>
        </is>
      </c>
      <c r="K1" s="3" t="inlineStr">
        <is>
          <t>CLOSED</t>
        </is>
      </c>
    </row>
    <row r="2" ht="15" customHeight="1">
      <c r="A2" s="4" t="inlineStr">
        <is>
          <t>CUSTOMER NAME</t>
        </is>
      </c>
      <c r="B2" s="65" t="inlineStr">
        <is>
          <t>Mr. ABC John Dee</t>
        </is>
      </c>
      <c r="C2" s="95" t="n"/>
      <c r="D2" s="1" t="n"/>
      <c r="E2" s="5" t="inlineStr">
        <is>
          <t>PROFESSIONAL</t>
        </is>
      </c>
      <c r="F2" s="5" t="inlineStr">
        <is>
          <t>CHOLA</t>
        </is>
      </c>
      <c r="G2" s="96" t="n">
        <v>1519819</v>
      </c>
      <c r="H2" s="96" t="n">
        <v>1519819</v>
      </c>
      <c r="I2" s="96" t="n">
        <v>40000</v>
      </c>
      <c r="J2" s="7" t="n">
        <v>46113</v>
      </c>
      <c r="K2" s="8" t="n"/>
    </row>
    <row r="3" ht="15" customHeight="1">
      <c r="A3" s="4" t="inlineStr">
        <is>
          <t>LOGGED IN</t>
        </is>
      </c>
      <c r="B3" s="66" t="inlineStr">
        <is>
          <t>Which lender the file is logged in with(to be filled manually by credit team)</t>
        </is>
      </c>
      <c r="C3" s="95" t="n"/>
      <c r="D3" s="1" t="n"/>
      <c r="E3" s="5" t="inlineStr">
        <is>
          <t>BL</t>
        </is>
      </c>
      <c r="F3" s="5" t="inlineStr">
        <is>
          <t>HDFC</t>
        </is>
      </c>
      <c r="G3" s="96" t="n">
        <v>285907</v>
      </c>
      <c r="H3" s="96" t="n">
        <v>279991</v>
      </c>
      <c r="I3" s="96" t="n">
        <v>10000</v>
      </c>
      <c r="J3" s="7" t="n">
        <v>46082</v>
      </c>
      <c r="K3" s="9" t="n"/>
    </row>
    <row r="4" ht="15" customHeight="1">
      <c r="A4" s="10" t="inlineStr">
        <is>
          <t>GENDER</t>
        </is>
      </c>
      <c r="B4" s="67" t="inlineStr">
        <is>
          <t>MALE</t>
        </is>
      </c>
      <c r="C4" s="95" t="n"/>
      <c r="D4" s="1" t="n"/>
      <c r="E4" s="9" t="inlineStr">
        <is>
          <t>PROFESSIONAL</t>
        </is>
      </c>
      <c r="F4" s="9" t="inlineStr">
        <is>
          <t>BAJAJ</t>
        </is>
      </c>
      <c r="G4" s="97" t="n">
        <v>1623729</v>
      </c>
      <c r="H4" s="97" t="n">
        <v>1623729</v>
      </c>
      <c r="I4" s="97" t="n">
        <v>20000</v>
      </c>
      <c r="J4" s="12" t="n">
        <v>45839</v>
      </c>
      <c r="K4" s="9" t="n"/>
    </row>
    <row r="5" ht="15" customHeight="1">
      <c r="A5" s="13" t="inlineStr">
        <is>
          <t>MARITAL STATUS</t>
        </is>
      </c>
      <c r="B5" s="68" t="inlineStr">
        <is>
          <t>UNMARRIED</t>
        </is>
      </c>
      <c r="C5" s="95" t="n"/>
      <c r="D5" s="1" t="n"/>
      <c r="E5" s="9" t="inlineStr">
        <is>
          <t>AUTO</t>
        </is>
      </c>
      <c r="F5" s="9" t="inlineStr">
        <is>
          <t>HDFC</t>
        </is>
      </c>
      <c r="G5" s="98" t="n">
        <v>918998</v>
      </c>
      <c r="H5" s="98" t="n">
        <v>540105</v>
      </c>
      <c r="I5" s="98" t="n">
        <v>19000</v>
      </c>
      <c r="J5" s="12" t="n">
        <v>45261</v>
      </c>
      <c r="K5" s="9" t="n"/>
    </row>
    <row r="6" ht="26.4" customHeight="1">
      <c r="A6" s="10" t="inlineStr">
        <is>
          <t>MOTHER’ S NAME</t>
        </is>
      </c>
      <c r="B6" s="67">
        <f>UPPER("Mother's name
")</f>
        <v/>
      </c>
      <c r="C6" s="95" t="n"/>
      <c r="D6" s="1" t="n"/>
      <c r="E6" s="9" t="inlineStr">
        <is>
          <t>EDU</t>
        </is>
      </c>
      <c r="F6" s="9" t="inlineStr">
        <is>
          <t>CANERA</t>
        </is>
      </c>
      <c r="G6" s="98" t="n">
        <v>6750000</v>
      </c>
      <c r="H6" s="98" t="n">
        <v>6650000</v>
      </c>
      <c r="I6" s="98" t="n"/>
      <c r="J6" s="12" t="n">
        <v>45139</v>
      </c>
      <c r="K6" s="9" t="n"/>
    </row>
    <row r="7" ht="15" customHeight="1">
      <c r="A7" s="10" t="inlineStr">
        <is>
          <t>FATHER’S NAME</t>
        </is>
      </c>
      <c r="B7" s="68" t="inlineStr">
        <is>
          <t>Father's name</t>
        </is>
      </c>
      <c r="C7" s="95" t="n"/>
      <c r="D7" s="1" t="n"/>
      <c r="E7" s="9" t="n"/>
      <c r="F7" s="9" t="n"/>
      <c r="G7" s="98" t="n"/>
      <c r="H7" s="98" t="n"/>
      <c r="I7" s="98" t="n"/>
      <c r="J7" s="9" t="n"/>
      <c r="K7" s="9" t="n"/>
    </row>
    <row r="8" ht="15" customHeight="1">
      <c r="A8" s="16" t="inlineStr">
        <is>
          <t>EMPLOYMENT TYPE</t>
        </is>
      </c>
      <c r="B8" s="69" t="inlineStr">
        <is>
          <t>SALARIED | CONSULTANT</t>
        </is>
      </c>
      <c r="C8" s="95" t="n"/>
      <c r="D8" s="1" t="n"/>
      <c r="E8" s="9" t="n"/>
      <c r="F8" s="9" t="n"/>
      <c r="G8" s="98" t="n"/>
      <c r="H8" s="98" t="n"/>
      <c r="I8" s="98" t="n"/>
      <c r="J8" s="9" t="n"/>
      <c r="K8" s="9" t="n"/>
    </row>
    <row r="9" ht="15" customHeight="1">
      <c r="A9" s="13" t="inlineStr">
        <is>
          <t>TOTAL MONTHLY INCOME</t>
        </is>
      </c>
      <c r="B9" s="99">
        <f>SUM(B10:B12)</f>
        <v/>
      </c>
      <c r="C9" s="100" t="inlineStr">
        <is>
          <t>MODE  ⏬</t>
        </is>
      </c>
      <c r="D9" s="1" t="n"/>
      <c r="E9" s="9" t="n"/>
      <c r="F9" s="9" t="n"/>
      <c r="G9" s="98" t="n"/>
      <c r="H9" s="98" t="n"/>
      <c r="I9" s="98" t="n"/>
      <c r="J9" s="9" t="n"/>
      <c r="K9" s="9" t="n"/>
    </row>
    <row r="10" ht="15" customHeight="1">
      <c r="A10" s="13" t="inlineStr">
        <is>
          <t>MONTHLY SALARY</t>
        </is>
      </c>
      <c r="B10" s="101" t="n"/>
      <c r="C10" s="101" t="inlineStr">
        <is>
          <t>ACCOUNT</t>
        </is>
      </c>
      <c r="D10" s="1" t="n"/>
      <c r="E10" s="72" t="n"/>
      <c r="F10" s="72">
        <f>SUBTOTAL(103,Table2[MEMBER NAME])</f>
        <v/>
      </c>
      <c r="G10" s="102">
        <f>SUBTOTAL(109,Table2[SANCTION AMOUNT])</f>
        <v/>
      </c>
      <c r="H10" s="102">
        <f>SUBTOTAL(109,Table2[CURRENT BALANCE])</f>
        <v/>
      </c>
      <c r="I10" s="102">
        <f>SUBTOTAL(109,Table2[EMI AMOUNT])</f>
        <v/>
      </c>
      <c r="J10" s="72" t="n"/>
      <c r="K10" s="72" t="n"/>
    </row>
    <row r="11" ht="15" customHeight="1">
      <c r="A11" s="13" t="inlineStr">
        <is>
          <t>ADDITIONAL INCOME</t>
        </is>
      </c>
      <c r="B11" s="101" t="n">
        <v>400000</v>
      </c>
      <c r="C11" s="101" t="n"/>
      <c r="D11" s="1" t="n"/>
      <c r="E11" s="22" t="n"/>
      <c r="F11" s="22" t="n"/>
      <c r="G11" s="103" t="n"/>
      <c r="H11" s="103" t="n"/>
      <c r="I11" s="103" t="n"/>
      <c r="J11" s="22" t="n"/>
      <c r="K11" s="22" t="n"/>
    </row>
    <row r="12" ht="15" customHeight="1">
      <c r="A12" s="13" t="inlineStr">
        <is>
          <t>CONSULTANCY</t>
        </is>
      </c>
      <c r="B12" s="101" t="n"/>
      <c r="C12" s="101" t="inlineStr">
        <is>
          <t>CASH</t>
        </is>
      </c>
      <c r="D12" s="1" t="n"/>
      <c r="E12" s="24" t="inlineStr">
        <is>
          <t>MONTHLY INCOME</t>
        </is>
      </c>
      <c r="F12" s="100">
        <f>B9</f>
        <v/>
      </c>
      <c r="G12" s="103" t="n"/>
      <c r="H12" s="103" t="n"/>
      <c r="I12" s="103" t="n"/>
      <c r="J12" s="22" t="n"/>
      <c r="K12" s="22" t="n"/>
    </row>
    <row r="13" ht="15" customHeight="1">
      <c r="A13" s="13" t="inlineStr">
        <is>
          <t>ITR FY 2024-25 &amp; 2025-26</t>
        </is>
      </c>
      <c r="B13" s="101" t="n"/>
      <c r="C13" s="95" t="n"/>
      <c r="D13" s="1" t="n"/>
      <c r="E13" s="25" t="inlineStr">
        <is>
          <t>FOIR (%)</t>
        </is>
      </c>
      <c r="F13" s="26">
        <f>IF(F12&lt;50000,50%,IF(F12&lt;=100000,60%,70%))</f>
        <v/>
      </c>
      <c r="G13" s="103" t="n"/>
      <c r="H13" s="103" t="n"/>
      <c r="I13" s="103" t="n"/>
      <c r="J13" s="22" t="n"/>
      <c r="K13" s="22" t="n"/>
    </row>
    <row r="14" ht="15" customHeight="1">
      <c r="A14" s="104" t="n"/>
      <c r="E14" s="25">
        <f>UPPER("Existing EMI")</f>
        <v/>
      </c>
      <c r="F14" s="101">
        <f>I10</f>
        <v/>
      </c>
      <c r="G14" s="103" t="n"/>
      <c r="H14" s="103" t="n"/>
      <c r="I14" s="103" t="n"/>
      <c r="J14" s="22" t="n"/>
      <c r="K14" s="22" t="n"/>
    </row>
    <row r="15" ht="15" customHeight="1">
      <c r="A15" s="10" t="inlineStr">
        <is>
          <t>DATE OF BIRTH</t>
        </is>
      </c>
      <c r="B15" s="70" t="n">
        <v>34259</v>
      </c>
      <c r="D15" s="1" t="n"/>
      <c r="E15" s="25" t="inlineStr">
        <is>
          <t>SECURED CAP</t>
        </is>
      </c>
      <c r="F15" s="102">
        <f>((F12*F13)-F14)*100</f>
        <v/>
      </c>
      <c r="G15" s="103" t="n"/>
      <c r="H15" s="103" t="n"/>
      <c r="I15" s="103" t="n"/>
      <c r="J15" s="22" t="n"/>
      <c r="K15" s="22" t="n"/>
    </row>
    <row r="16" ht="15" customHeight="1">
      <c r="A16" s="13" t="inlineStr">
        <is>
          <t>CUSTOMER'S AGE</t>
        </is>
      </c>
      <c r="B16" s="71">
        <f>YEAR(TODAY())-YEAR(B15)-IF(DATE(YEAR(TODAY()),MONTH(B15),DAY(B15))&gt;TODAY(),1,0)&amp;" YEARS OLD"</f>
        <v/>
      </c>
      <c r="D16" s="1" t="n"/>
      <c r="E16" s="25" t="inlineStr">
        <is>
          <t>UNSECURED CAP</t>
        </is>
      </c>
      <c r="F16" s="102">
        <f>F15/2</f>
        <v/>
      </c>
      <c r="G16" s="103" t="n"/>
      <c r="H16" s="103" t="n"/>
      <c r="I16" s="103" t="n"/>
      <c r="J16" s="22" t="n"/>
      <c r="K16" s="22" t="n"/>
    </row>
    <row r="17" ht="15" customHeight="1">
      <c r="A17" s="10" t="inlineStr">
        <is>
          <t>CUSTOMER MOBILE NUMBER</t>
        </is>
      </c>
      <c r="B17" s="72" t="n">
        <v>9988775544</v>
      </c>
      <c r="C17" s="95" t="n"/>
      <c r="D17" s="1" t="n"/>
      <c r="E17" s="25" t="inlineStr">
        <is>
          <t>CASE ELIGIBILITY</t>
        </is>
      </c>
      <c r="F17" s="68" t="n"/>
      <c r="G17" s="103" t="n"/>
      <c r="H17" s="103" t="n"/>
      <c r="I17" s="103" t="n"/>
      <c r="J17" s="22" t="n"/>
      <c r="K17" s="22" t="n"/>
    </row>
    <row r="18">
      <c r="A18" s="10" t="inlineStr">
        <is>
          <t>CUSTOMER MAIL ID</t>
        </is>
      </c>
      <c r="B18" s="73" t="n"/>
      <c r="D18" s="1" t="n"/>
      <c r="E18" s="22" t="n"/>
      <c r="F18" s="22" t="n"/>
      <c r="G18" s="103" t="n"/>
      <c r="H18" s="103" t="n"/>
      <c r="I18" s="103" t="n"/>
      <c r="J18" s="22" t="n"/>
      <c r="K18" s="22" t="n"/>
    </row>
    <row r="19">
      <c r="A19" s="13" t="inlineStr">
        <is>
          <t>HOUSE TYPE: (OWNED/RENTED/HOSTEL)</t>
        </is>
      </c>
      <c r="B19" s="74" t="n"/>
      <c r="C19" s="95" t="n"/>
      <c r="D19" s="1" t="n"/>
      <c r="E19" s="72" t="inlineStr">
        <is>
          <t>SBI</t>
        </is>
      </c>
      <c r="F19" s="94" t="n"/>
      <c r="G19" s="94" t="n"/>
      <c r="H19" s="94" t="n"/>
      <c r="I19" s="94" t="n"/>
      <c r="J19" s="94" t="n"/>
      <c r="K19" s="95" t="n"/>
    </row>
    <row r="20">
      <c r="A20" s="25" t="inlineStr">
        <is>
          <t>CURRENT ADDRESS</t>
        </is>
      </c>
      <c r="B20" s="74" t="inlineStr">
        <is>
          <t>current address</t>
        </is>
      </c>
      <c r="D20" s="1" t="n"/>
      <c r="E20" s="72" t="n"/>
      <c r="F20" s="28" t="n">
        <v>45962</v>
      </c>
      <c r="G20" s="28" t="n">
        <v>45992</v>
      </c>
      <c r="H20" s="28" t="n">
        <v>46023</v>
      </c>
      <c r="I20" s="28" t="n">
        <v>46054</v>
      </c>
      <c r="J20" s="28" t="n">
        <v>46082</v>
      </c>
      <c r="K20" s="28" t="n">
        <v>46113</v>
      </c>
    </row>
    <row r="21">
      <c r="A21" s="25" t="inlineStr">
        <is>
          <t>CURRENT RESIDENCE VINTAGE</t>
        </is>
      </c>
      <c r="B21" s="74" t="n"/>
      <c r="C21" s="95" t="n"/>
      <c r="D21" s="1" t="n"/>
      <c r="E21" s="72" t="inlineStr">
        <is>
          <t>5th</t>
        </is>
      </c>
      <c r="F21" s="105" t="n">
        <v>17181.93</v>
      </c>
      <c r="G21" s="105" t="n">
        <v>18378.6</v>
      </c>
      <c r="H21" s="30" t="n">
        <v>76252.95</v>
      </c>
      <c r="I21" s="30" t="n">
        <v>15977.49</v>
      </c>
      <c r="J21" s="30" t="n">
        <v>3780.13</v>
      </c>
      <c r="K21" s="30" t="n"/>
    </row>
    <row r="22" ht="31.05" customHeight="1">
      <c r="A22" s="25" t="inlineStr">
        <is>
          <t>CONSULTANCY</t>
        </is>
      </c>
      <c r="B22" s="74" t="n"/>
      <c r="D22" s="1" t="n"/>
      <c r="E22" s="72" t="inlineStr">
        <is>
          <t>10th</t>
        </is>
      </c>
      <c r="F22" s="105" t="n">
        <v>50177.93</v>
      </c>
      <c r="G22" s="105" t="n">
        <v>6716.6</v>
      </c>
      <c r="H22" s="30" t="n">
        <v>48077.95</v>
      </c>
      <c r="I22" s="30" t="n">
        <v>70859.49000000001</v>
      </c>
      <c r="J22" s="30" t="n">
        <v>19142.26</v>
      </c>
      <c r="K22" s="30" t="n"/>
    </row>
    <row r="23" ht="37.95" customHeight="1">
      <c r="A23" s="25" t="inlineStr">
        <is>
          <t>WORKING ADDRESS</t>
        </is>
      </c>
      <c r="B23" s="67" t="inlineStr">
        <is>
          <t>working address</t>
        </is>
      </c>
      <c r="C23" s="95" t="n"/>
      <c r="D23" s="1" t="n"/>
      <c r="E23" s="72" t="inlineStr">
        <is>
          <t>15th</t>
        </is>
      </c>
      <c r="F23" s="105" t="n">
        <v>36243.78</v>
      </c>
      <c r="G23" s="105" t="n">
        <v>6129.6</v>
      </c>
      <c r="H23" s="30" t="n">
        <v>29928.95</v>
      </c>
      <c r="I23" s="30" t="n">
        <v>30476.78</v>
      </c>
      <c r="J23" s="30" t="n">
        <v>16862.18</v>
      </c>
      <c r="K23" s="30" t="n"/>
    </row>
    <row r="24" ht="15" customHeight="1">
      <c r="A24" s="25" t="inlineStr">
        <is>
          <t>PERMANENT ADDRESS</t>
        </is>
      </c>
      <c r="B24" s="74" t="inlineStr">
        <is>
          <t>permanent address</t>
        </is>
      </c>
      <c r="D24" s="1" t="n"/>
      <c r="E24" s="72" t="inlineStr">
        <is>
          <t>20th</t>
        </is>
      </c>
      <c r="F24" s="105" t="n">
        <v>31845.6</v>
      </c>
      <c r="G24" s="105" t="n">
        <v>1052.75</v>
      </c>
      <c r="H24" s="30" t="n">
        <v>27431.82</v>
      </c>
      <c r="I24" s="30" t="n">
        <v>30250.08</v>
      </c>
      <c r="J24" s="30" t="n">
        <v>16626.18</v>
      </c>
      <c r="K24" s="30" t="n"/>
    </row>
    <row r="25" ht="15" customHeight="1">
      <c r="A25" s="64" t="inlineStr">
        <is>
          <t>PROFESSION DETAILS</t>
        </is>
      </c>
      <c r="D25" s="1" t="n"/>
      <c r="E25" s="72" t="inlineStr">
        <is>
          <t>25th</t>
        </is>
      </c>
      <c r="F25" s="105" t="n">
        <v>28908.6</v>
      </c>
      <c r="G25" s="105" t="n">
        <v>9789.75</v>
      </c>
      <c r="H25" s="30" t="n">
        <v>22986.21</v>
      </c>
      <c r="I25" s="30" t="n">
        <v>30565.38</v>
      </c>
      <c r="J25" s="30" t="n">
        <v>16550.73</v>
      </c>
      <c r="K25" s="30" t="n"/>
    </row>
    <row r="26" ht="15" customHeight="1">
      <c r="A26" s="10" t="inlineStr">
        <is>
          <t>DOCTOR / CA / CS</t>
        </is>
      </c>
      <c r="B26" s="94" t="n"/>
      <c r="C26" s="95" t="n"/>
      <c r="D26" s="1" t="n"/>
      <c r="E26" s="72" t="inlineStr">
        <is>
          <t>30th</t>
        </is>
      </c>
      <c r="F26" s="105" t="n">
        <v>31528.6</v>
      </c>
      <c r="G26" s="105" t="n">
        <v>8493.950000000001</v>
      </c>
      <c r="H26" s="30" t="n">
        <v>39765.49</v>
      </c>
      <c r="I26" s="30" t="n">
        <v>27335.13</v>
      </c>
      <c r="J26" s="30" t="n">
        <v>15510.26</v>
      </c>
      <c r="K26" s="30" t="n"/>
    </row>
    <row r="27" ht="15" customHeight="1">
      <c r="A27" s="32" t="inlineStr">
        <is>
          <t>HIGHEST DEGREE</t>
        </is>
      </c>
      <c r="B27" s="76" t="inlineStr">
        <is>
          <t>MBBS | MS</t>
        </is>
      </c>
      <c r="D27" s="1" t="n"/>
      <c r="E27" s="72" t="n"/>
      <c r="F27" s="106">
        <f>IFERROR(AVERAGE(F21:F26),"Banking Missing")</f>
        <v/>
      </c>
      <c r="G27" s="106">
        <f>IFERROR(AVERAGE(G21:G26),"Banking Missing")</f>
        <v/>
      </c>
      <c r="H27" s="106">
        <f>IFERROR(AVERAGE(H21:H26),"Banking Missing")</f>
        <v/>
      </c>
      <c r="I27" s="106">
        <f>IFERROR(AVERAGE(I21:I26),"Banking Missing")</f>
        <v/>
      </c>
      <c r="J27" s="106">
        <f>IFERROR(AVERAGE(J21:J26),"Banking Missing")</f>
        <v/>
      </c>
      <c r="K27" s="106">
        <f>IFERROR(AVERAGE(K21:K26),"Banking Missing")</f>
        <v/>
      </c>
    </row>
    <row r="28">
      <c r="A28" s="32" t="inlineStr">
        <is>
          <t>REGISTRATION YEAR</t>
        </is>
      </c>
      <c r="B28" s="68" t="inlineStr">
        <is>
          <t>2019 | 2025</t>
        </is>
      </c>
      <c r="C28" s="95" t="n"/>
      <c r="D28" s="1" t="n"/>
      <c r="E28" s="72" t="inlineStr">
        <is>
          <t>ABB</t>
        </is>
      </c>
      <c r="F28" s="107">
        <f>IFERROR(AVERAGE(F27:K27),"Banking Not Provided")</f>
        <v/>
      </c>
      <c r="G28" s="94" t="n"/>
      <c r="H28" s="94" t="n"/>
      <c r="I28" s="94" t="n"/>
      <c r="J28" s="94" t="n"/>
      <c r="K28" s="95" t="n"/>
    </row>
    <row r="29">
      <c r="A29" s="10" t="inlineStr">
        <is>
          <t>EXPEREINCE</t>
        </is>
      </c>
      <c r="B29" s="68" t="inlineStr">
        <is>
          <t>7 YEARS</t>
        </is>
      </c>
      <c r="D29" s="1" t="n"/>
      <c r="E29" s="35" t="n"/>
      <c r="F29" s="108" t="n"/>
      <c r="G29" s="22" t="n"/>
      <c r="H29" s="22" t="n"/>
      <c r="I29" s="22" t="n"/>
      <c r="J29" s="22" t="n"/>
      <c r="K29" s="22" t="n"/>
    </row>
    <row r="30">
      <c r="A30" s="10" t="inlineStr">
        <is>
          <t>PG PURSUING</t>
        </is>
      </c>
      <c r="B30" s="68" t="inlineStr">
        <is>
          <t>NO</t>
        </is>
      </c>
      <c r="C30" s="95" t="n"/>
      <c r="D30" s="1" t="n"/>
      <c r="E30" s="109" t="inlineStr">
        <is>
          <t>MONTLY CREDIT REPORT</t>
        </is>
      </c>
      <c r="F30" s="94" t="n"/>
      <c r="G30" s="94" t="n"/>
      <c r="H30" s="94" t="n"/>
      <c r="I30" s="94" t="n"/>
      <c r="J30" s="94" t="n"/>
      <c r="K30" s="95" t="n"/>
    </row>
    <row r="31">
      <c r="A31" s="10" t="inlineStr">
        <is>
          <t>COLLAGE NAME</t>
        </is>
      </c>
      <c r="B31" s="68" t="n"/>
      <c r="D31" s="1" t="n"/>
      <c r="E31" s="72" t="inlineStr">
        <is>
          <t>AMOUNT</t>
        </is>
      </c>
      <c r="F31" s="107" t="n"/>
      <c r="G31" s="107" t="n"/>
      <c r="H31" s="107" t="n"/>
      <c r="I31" s="107" t="n"/>
      <c r="J31" s="107" t="n"/>
      <c r="K31" s="107" t="n"/>
    </row>
    <row r="32" ht="15" customHeight="1">
      <c r="A32" s="64" t="inlineStr">
        <is>
          <t>BANKING DETAILS</t>
        </is>
      </c>
      <c r="D32" s="1" t="n"/>
      <c r="E32" s="75" t="inlineStr">
        <is>
          <t>NO. OF CREDIT</t>
        </is>
      </c>
      <c r="F32" s="39">
        <f>IFERROR(LEN(_xlfn.FORMULATEXT(F31))-LEN(SUBSTITUTE(_xlfn.FORMULATEXT(F31),"+",""))+1,0)</f>
        <v/>
      </c>
      <c r="G32" s="39">
        <f>IFERROR(LEN(_xlfn.FORMULATEXT(G31))-LEN(SUBSTITUTE(_xlfn.FORMULATEXT(G31),"+",""))+1,0)</f>
        <v/>
      </c>
      <c r="H32" s="39">
        <f>IFERROR(LEN(_xlfn.FORMULATEXT(H31))-LEN(SUBSTITUTE(_xlfn.FORMULATEXT(H31),"+",""))+1,0)</f>
        <v/>
      </c>
      <c r="I32" s="39">
        <f>IFERROR(LEN(_xlfn.FORMULATEXT(I31))-LEN(SUBSTITUTE(_xlfn.FORMULATEXT(I31),"+",""))+1,0)</f>
        <v/>
      </c>
      <c r="J32" s="39">
        <f>IFERROR(LEN(_xlfn.FORMULATEXT(J31))-LEN(SUBSTITUTE(_xlfn.FORMULATEXT(J31),"+",""))+1,0)</f>
        <v/>
      </c>
      <c r="K32" s="39">
        <f>IFERROR(LEN(_xlfn.FORMULATEXT(K31))-LEN(SUBSTITUTE(_xlfn.FORMULATEXT(K31),"+",""))+1,0)</f>
        <v/>
      </c>
    </row>
    <row r="33" ht="15" customHeight="1">
      <c r="A33" s="37" t="inlineStr">
        <is>
          <t>CIBIL SCORE</t>
        </is>
      </c>
      <c r="B33" s="94" t="n"/>
      <c r="D33" s="1" t="n"/>
      <c r="E33" s="75" t="inlineStr">
        <is>
          <t>AVERAGE MONTHLY CREDIT</t>
        </is>
      </c>
      <c r="F33" s="110">
        <f>IFERROR(AVERAGE(F31:K31),0)</f>
        <v/>
      </c>
      <c r="G33" s="94" t="n"/>
      <c r="H33" s="94" t="n"/>
      <c r="I33" s="94" t="n"/>
      <c r="J33" s="94" t="n"/>
      <c r="K33" s="95" t="n"/>
    </row>
    <row r="34" ht="15" customHeight="1">
      <c r="A34" s="37" t="inlineStr">
        <is>
          <t>BANKING</t>
        </is>
      </c>
      <c r="B34" s="82" t="n"/>
      <c r="C34" s="95" t="n"/>
      <c r="D34" s="1" t="n"/>
      <c r="E34" s="35" t="n"/>
      <c r="F34" s="108" t="n"/>
      <c r="G34" s="22" t="n"/>
      <c r="H34" s="22" t="n"/>
      <c r="I34" s="22" t="n"/>
      <c r="J34" s="22" t="n"/>
      <c r="K34" s="22" t="n"/>
    </row>
    <row r="35" ht="15" customHeight="1">
      <c r="A35" s="37" t="inlineStr">
        <is>
          <t>AVERAGE MONTHLY CREDIT</t>
        </is>
      </c>
      <c r="B35" s="84">
        <f>F34</f>
        <v/>
      </c>
      <c r="C35" s="95" t="n"/>
      <c r="D35" s="1" t="n"/>
      <c r="E35" s="85" t="inlineStr">
        <is>
          <t>BOUNCE DATA</t>
        </is>
      </c>
      <c r="F35" s="94" t="n"/>
      <c r="G35" s="95" t="n"/>
      <c r="H35" s="22" t="n"/>
      <c r="I35" s="22" t="n"/>
      <c r="J35" s="22" t="n"/>
      <c r="K35" s="22" t="n"/>
    </row>
    <row r="36" ht="15" customHeight="1">
      <c r="A36" s="32" t="inlineStr">
        <is>
          <t>TOTAL ACTIVE LOAN (COUNT/AMOUNT)</t>
        </is>
      </c>
      <c r="B36" s="81">
        <f>COUNTA(F3:F10)&amp;" | LOANS"</f>
        <v/>
      </c>
      <c r="D36" s="1" t="n"/>
      <c r="E36" s="42" t="inlineStr">
        <is>
          <t>MONTH RANGE</t>
        </is>
      </c>
      <c r="F36" s="42" t="inlineStr">
        <is>
          <t>NO. OF BOUNCE</t>
        </is>
      </c>
      <c r="G36" s="42" t="inlineStr">
        <is>
          <t>PAID WITHIN 7 DAYS</t>
        </is>
      </c>
      <c r="H36" s="43" t="n"/>
      <c r="I36" s="44" t="n"/>
      <c r="J36" s="43" t="n"/>
      <c r="K36" s="22" t="n"/>
    </row>
    <row r="37" ht="15" customHeight="1">
      <c r="A37" s="32" t="inlineStr">
        <is>
          <t>BANK/NBFC NAME(FROM WHERE LOAN RUNNING)</t>
        </is>
      </c>
      <c r="B37" s="82">
        <f>_xlfn.TEXTJOIN(" | ",TRUE,F3:F10)</f>
        <v/>
      </c>
      <c r="C37" s="95" t="n"/>
      <c r="D37" s="1" t="n"/>
      <c r="E37" s="45" t="inlineStr">
        <is>
          <t>LAST 1 MONTH</t>
        </is>
      </c>
      <c r="F37" s="45" t="n"/>
      <c r="G37" s="45" t="n"/>
      <c r="H37" s="22" t="n"/>
      <c r="I37" s="44" t="n"/>
      <c r="J37" s="43" t="n"/>
      <c r="K37" s="22" t="n"/>
    </row>
    <row r="38" ht="15" customHeight="1">
      <c r="A38" s="32" t="inlineStr">
        <is>
          <t>EMI PAYING PER MONTH</t>
        </is>
      </c>
      <c r="B38" s="111">
        <f>SUM(I3:I10)</f>
        <v/>
      </c>
      <c r="C38" s="95" t="n"/>
      <c r="D38" s="1" t="n"/>
      <c r="E38" s="45" t="inlineStr">
        <is>
          <t>LAST 2 MONTH</t>
        </is>
      </c>
      <c r="F38" s="45" t="n"/>
      <c r="G38" s="45" t="n"/>
      <c r="H38" s="43" t="n"/>
      <c r="I38" s="44" t="n"/>
      <c r="J38" s="43" t="n"/>
      <c r="K38" s="22" t="n"/>
    </row>
    <row r="39" ht="15" customHeight="1">
      <c r="A39" s="46" t="inlineStr">
        <is>
          <t>ABB LAST 6 MONTH</t>
        </is>
      </c>
      <c r="B39" s="107">
        <f>F29</f>
        <v/>
      </c>
      <c r="C39" s="95" t="n"/>
      <c r="D39" s="1" t="n"/>
      <c r="E39" s="45" t="inlineStr">
        <is>
          <t>LAST 3 MONTH</t>
        </is>
      </c>
      <c r="F39" s="45" t="n"/>
      <c r="G39" s="45" t="n"/>
      <c r="H39" s="43" t="n"/>
      <c r="I39" s="44" t="n"/>
      <c r="J39" s="43" t="n"/>
      <c r="K39" s="22" t="n"/>
    </row>
    <row r="40" ht="15" customHeight="1">
      <c r="A40" s="32" t="inlineStr">
        <is>
          <t>TOTAL BOUNCING IN LAST 6 MONHTS</t>
        </is>
      </c>
      <c r="B40" s="88">
        <f>IF(COUNTA(Table1[DATE])=0,"NO BOUNCE",COUNTA(Table1[DATE]))</f>
        <v/>
      </c>
      <c r="C40" s="95" t="n"/>
      <c r="D40" s="1" t="n"/>
      <c r="E40" s="45" t="inlineStr">
        <is>
          <t>LAST 4 -6 MONTH</t>
        </is>
      </c>
      <c r="F40" s="45" t="n"/>
      <c r="G40" s="45" t="n"/>
      <c r="H40" s="22" t="n"/>
      <c r="I40" s="44" t="n"/>
      <c r="J40" s="43" t="n"/>
      <c r="K40" s="22" t="n"/>
    </row>
    <row r="41" ht="15" customHeight="1">
      <c r="A41" s="46" t="inlineStr">
        <is>
          <t>TOTAL ENQUIRY IN LAST 3 MONTHS</t>
        </is>
      </c>
      <c r="B41" s="81" t="n"/>
      <c r="D41" s="1" t="n"/>
      <c r="E41" s="45" t="inlineStr">
        <is>
          <t>LAST 7 -12 MONTH</t>
        </is>
      </c>
      <c r="F41" s="45" t="n"/>
      <c r="G41" s="45" t="n"/>
      <c r="H41" s="22" t="n"/>
      <c r="I41" s="44" t="n"/>
      <c r="J41" s="43" t="n"/>
      <c r="K41" s="22" t="n"/>
    </row>
    <row r="42" ht="15" customHeight="1">
      <c r="A42" s="46" t="inlineStr">
        <is>
          <t>TOTAL ENQUIRY IN LAST 6 MONTHS</t>
        </is>
      </c>
      <c r="B42" s="81" t="n"/>
      <c r="C42" s="95" t="n"/>
      <c r="D42" s="1" t="n"/>
      <c r="E42" s="22" t="n"/>
      <c r="F42" s="22" t="n"/>
      <c r="G42" s="22" t="n"/>
      <c r="H42" s="22" t="n"/>
      <c r="I42" s="44" t="n"/>
      <c r="J42" s="43" t="n"/>
      <c r="K42" s="22" t="n"/>
    </row>
    <row r="43" ht="15" customHeight="1">
      <c r="A43" s="64" t="inlineStr">
        <is>
          <t>NOMINEE DETAILS</t>
        </is>
      </c>
      <c r="D43" s="1" t="n"/>
      <c r="E43" s="89" t="inlineStr">
        <is>
          <t>RETURN CHARGES</t>
        </is>
      </c>
      <c r="F43" s="95" t="n"/>
      <c r="G43" s="22" t="n"/>
      <c r="H43" s="22" t="n"/>
      <c r="I43" s="44" t="n"/>
      <c r="J43" s="22" t="n"/>
      <c r="K43" s="22" t="n"/>
    </row>
    <row r="44" ht="15" customHeight="1">
      <c r="A44" s="10" t="inlineStr">
        <is>
          <t>NOMINEE NAME</t>
        </is>
      </c>
      <c r="B44" s="94" t="n"/>
      <c r="C44" s="95" t="n"/>
      <c r="D44" s="1" t="n"/>
      <c r="E44" s="47" t="inlineStr">
        <is>
          <t>DATE</t>
        </is>
      </c>
      <c r="F44" s="48" t="inlineStr">
        <is>
          <t>CHARGE</t>
        </is>
      </c>
      <c r="G44" s="22" t="n"/>
      <c r="H44" s="22" t="n"/>
      <c r="I44" s="44" t="n"/>
      <c r="J44" s="22" t="n"/>
      <c r="K44" s="22" t="n"/>
    </row>
    <row r="45" ht="15" customHeight="1">
      <c r="A45" s="10" t="inlineStr">
        <is>
          <t>RELATIONSHIP WITH CUSTOMER</t>
        </is>
      </c>
      <c r="B45" s="68" t="n"/>
      <c r="D45" s="1" t="n"/>
      <c r="E45" s="49" t="n"/>
      <c r="F45" s="50" t="n"/>
      <c r="G45" s="22" t="n"/>
      <c r="H45" s="22" t="n"/>
      <c r="I45" s="22" t="n"/>
      <c r="J45" s="22" t="n"/>
      <c r="K45" s="22" t="n"/>
    </row>
    <row r="46" ht="15" customHeight="1">
      <c r="A46" s="10" t="inlineStr">
        <is>
          <t>AGE</t>
        </is>
      </c>
      <c r="B46" s="68" t="n"/>
      <c r="D46" s="1" t="n"/>
      <c r="E46" s="49" t="n"/>
      <c r="F46" s="50" t="n"/>
      <c r="G46" s="22" t="n"/>
      <c r="H46" s="22" t="n"/>
      <c r="I46" s="22" t="n"/>
      <c r="J46" s="22" t="n"/>
      <c r="K46" s="22" t="n"/>
    </row>
    <row r="47" ht="15" customHeight="1">
      <c r="A47" s="64" t="inlineStr">
        <is>
          <t>REFERANCE</t>
        </is>
      </c>
      <c r="D47" s="1" t="n"/>
      <c r="E47" s="49" t="n"/>
      <c r="F47" s="50" t="n"/>
      <c r="G47" s="22" t="n"/>
      <c r="H47" s="22" t="n"/>
      <c r="I47" s="22" t="n"/>
      <c r="J47" s="22" t="n"/>
      <c r="K47" s="22" t="n"/>
    </row>
    <row r="48" ht="15" customHeight="1">
      <c r="A48" s="51" t="inlineStr">
        <is>
          <t>REFERANCE 1  NAME</t>
        </is>
      </c>
      <c r="B48" s="94" t="n"/>
      <c r="C48" s="95" t="n"/>
      <c r="D48" s="1" t="n"/>
      <c r="E48" s="49" t="n"/>
      <c r="F48" s="50" t="n"/>
      <c r="G48" s="22" t="n"/>
      <c r="H48" s="22" t="n"/>
      <c r="I48" s="22" t="n"/>
      <c r="J48" s="22" t="n"/>
      <c r="K48" s="22" t="n"/>
    </row>
    <row r="49" ht="15" customHeight="1">
      <c r="A49" s="51" t="inlineStr">
        <is>
          <t>NUMBER</t>
        </is>
      </c>
      <c r="B49" s="74" t="n"/>
      <c r="D49" s="1" t="n"/>
      <c r="E49" s="49" t="n"/>
      <c r="F49" s="50" t="n"/>
      <c r="G49" s="22" t="n"/>
      <c r="H49" s="22" t="n"/>
      <c r="I49" s="22" t="n"/>
      <c r="J49" s="22" t="n"/>
      <c r="K49" s="22" t="n"/>
    </row>
    <row r="50" ht="15" customHeight="1">
      <c r="A50" s="51" t="inlineStr">
        <is>
          <t>RELATIONSHIP WITH CUSTOMER</t>
        </is>
      </c>
      <c r="B50" s="74" t="n"/>
      <c r="D50" s="1" t="n"/>
      <c r="E50" s="53" t="n"/>
      <c r="F50" s="54" t="n"/>
      <c r="G50" s="22" t="n"/>
      <c r="H50" s="22" t="n"/>
      <c r="I50" s="22" t="n"/>
      <c r="J50" s="22" t="n"/>
      <c r="K50" s="22" t="n"/>
    </row>
    <row r="51" ht="15" customHeight="1">
      <c r="A51" s="52" t="inlineStr">
        <is>
          <t>REFERANCE 2 NAME</t>
        </is>
      </c>
      <c r="B51" s="68" t="n"/>
      <c r="D51" s="1" t="n"/>
      <c r="E51" s="53" t="n"/>
      <c r="F51" s="54" t="n"/>
      <c r="G51" s="22" t="n"/>
      <c r="H51" s="22" t="n"/>
      <c r="I51" s="22" t="n"/>
      <c r="J51" s="22" t="n"/>
      <c r="K51" s="22" t="n"/>
    </row>
    <row r="52" ht="15" customHeight="1">
      <c r="A52" s="52" t="inlineStr">
        <is>
          <t>NUMBER</t>
        </is>
      </c>
      <c r="B52" s="90" t="n"/>
      <c r="C52" s="95" t="n"/>
      <c r="D52" s="1" t="n"/>
      <c r="E52" s="53" t="n"/>
      <c r="F52" s="54" t="n"/>
      <c r="G52" s="22" t="n"/>
      <c r="H52" s="22" t="n"/>
      <c r="I52" s="22" t="n"/>
      <c r="J52" s="22" t="n"/>
      <c r="K52" s="22" t="n"/>
    </row>
    <row r="53" ht="15" customHeight="1">
      <c r="A53" s="52" t="inlineStr">
        <is>
          <t>RELATIONSHIP WITH CUSTOMER</t>
        </is>
      </c>
      <c r="B53" s="67" t="n"/>
      <c r="C53" s="95" t="n"/>
      <c r="D53" s="1" t="n"/>
      <c r="E53" s="112" t="n"/>
      <c r="F53" s="113" t="n"/>
      <c r="G53" s="22" t="n"/>
      <c r="H53" s="22" t="n"/>
      <c r="I53" s="22" t="n"/>
      <c r="J53" s="22" t="n"/>
      <c r="K53" s="22" t="n"/>
    </row>
    <row r="54" ht="15" customHeight="1">
      <c r="A54" s="4" t="inlineStr">
        <is>
          <t>TVR</t>
        </is>
      </c>
      <c r="B54" s="86" t="inlineStr">
        <is>
          <t>DONE</t>
        </is>
      </c>
      <c r="C54" s="95" t="n"/>
      <c r="D54" s="1" t="n"/>
      <c r="E54" s="114" t="n"/>
      <c r="F54" s="115" t="n"/>
      <c r="G54" s="22" t="n"/>
      <c r="H54" s="22" t="n"/>
      <c r="I54" s="22" t="n"/>
      <c r="J54" s="22" t="n"/>
      <c r="K54" s="22" t="n"/>
    </row>
    <row r="55" ht="15" customHeight="1">
      <c r="A55" s="25" t="inlineStr">
        <is>
          <t>STAY WITH OR WITHOUT FAMILY</t>
        </is>
      </c>
      <c r="B55" s="82" t="n"/>
      <c r="D55" s="1" t="n"/>
      <c r="E55" s="114" t="n"/>
      <c r="F55" s="116" t="n"/>
      <c r="G55" s="22" t="n"/>
      <c r="H55" s="22" t="n"/>
      <c r="I55" s="22" t="n"/>
      <c r="J55" s="22" t="n"/>
      <c r="K55" s="22" t="n"/>
    </row>
    <row r="56" ht="15" customHeight="1">
      <c r="A56" s="25" t="inlineStr">
        <is>
          <t>REQUIRED AMOUNT</t>
        </is>
      </c>
      <c r="B56" s="82" t="n"/>
      <c r="D56" s="1" t="n"/>
      <c r="E56" s="114" t="n"/>
      <c r="F56" s="116" t="n"/>
      <c r="G56" s="22" t="n"/>
      <c r="H56" s="22" t="n"/>
      <c r="I56" s="22" t="n"/>
      <c r="J56" s="22" t="n"/>
      <c r="K56" s="22" t="n"/>
    </row>
    <row r="57" ht="15" customHeight="1">
      <c r="A57" s="25" t="inlineStr">
        <is>
          <t>REASON</t>
        </is>
      </c>
      <c r="B57" s="82" t="n"/>
      <c r="C57" s="95" t="n"/>
      <c r="D57" s="1" t="n"/>
      <c r="E57" s="114" t="n"/>
      <c r="F57" s="115" t="n"/>
      <c r="G57" s="22" t="n"/>
      <c r="H57" s="22" t="n"/>
      <c r="I57" s="22" t="n"/>
      <c r="J57" s="22" t="n"/>
      <c r="K57" s="22" t="n"/>
    </row>
    <row r="58" ht="15" customHeight="1">
      <c r="A58" s="25" t="inlineStr">
        <is>
          <t>UTILIZATION OF PREVIOUS OD</t>
        </is>
      </c>
      <c r="B58" s="82" t="n"/>
      <c r="C58" s="95" t="n"/>
      <c r="D58" s="1" t="n"/>
      <c r="E58" s="114" t="n"/>
      <c r="F58" s="115" t="n"/>
      <c r="G58" s="22" t="n"/>
      <c r="H58" s="22" t="n"/>
      <c r="I58" s="22" t="n"/>
      <c r="J58" s="22" t="n"/>
      <c r="K58" s="22" t="n"/>
    </row>
    <row r="59">
      <c r="A59" s="25" t="inlineStr">
        <is>
          <t>PENDING DOCUMENTS</t>
        </is>
      </c>
      <c r="B59" s="82" t="n"/>
      <c r="D59" s="1" t="n"/>
      <c r="E59" s="117" t="n"/>
      <c r="F59" s="113" t="n"/>
      <c r="G59" s="22" t="n"/>
      <c r="H59" s="22" t="n"/>
      <c r="I59" s="22" t="n"/>
      <c r="J59" s="22" t="n"/>
      <c r="K59" s="22" t="n"/>
    </row>
    <row r="60" ht="15" customHeight="1">
      <c r="A60" s="25" t="inlineStr">
        <is>
          <t>TRADING IN STOCK MARKETS</t>
        </is>
      </c>
      <c r="B60" s="82" t="n"/>
      <c r="C60" s="95" t="n"/>
      <c r="D60" s="1" t="n"/>
      <c r="E60" s="22" t="n"/>
      <c r="F60" s="22" t="n"/>
      <c r="G60" s="22" t="n"/>
      <c r="H60" s="22" t="n"/>
      <c r="I60" s="22" t="n"/>
      <c r="J60" s="22" t="n"/>
      <c r="K60" s="22" t="n"/>
    </row>
    <row r="61">
      <c r="A61" s="25" t="inlineStr">
        <is>
          <t>POLICE POLITITIAN LAWYER IN FAMILY</t>
        </is>
      </c>
      <c r="B61" s="82" t="n"/>
      <c r="D61" s="1" t="n"/>
    </row>
    <row r="62" ht="178.05" customHeight="1">
      <c r="A62" s="25" t="inlineStr">
        <is>
          <t>ANY OTHER DOCTORS IN FAMILY</t>
        </is>
      </c>
      <c r="B62" s="82" t="n"/>
      <c r="C62" s="95" t="n"/>
    </row>
    <row r="63" ht="217.95" customHeight="1">
      <c r="A63" s="62" t="inlineStr">
        <is>
          <t>CREDIT REMARK</t>
        </is>
      </c>
      <c r="B63" s="92" t="n"/>
    </row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1"/>
  </sheetData>
  <mergeCells count="44">
    <mergeCell ref="E43:F43"/>
    <mergeCell ref="A25:C25"/>
    <mergeCell ref="F33:K33"/>
    <mergeCell ref="B16:C16"/>
    <mergeCell ref="B62:C62"/>
    <mergeCell ref="B59:C59"/>
    <mergeCell ref="B7:C7"/>
    <mergeCell ref="B3:C3"/>
    <mergeCell ref="B46:C46"/>
    <mergeCell ref="B22:C22"/>
    <mergeCell ref="B31:C31"/>
    <mergeCell ref="B27:C27"/>
    <mergeCell ref="B56:C56"/>
    <mergeCell ref="B18:C18"/>
    <mergeCell ref="B52:C52"/>
    <mergeCell ref="B39:C39"/>
    <mergeCell ref="B2:C2"/>
    <mergeCell ref="A47:C47"/>
    <mergeCell ref="F28:K28"/>
    <mergeCell ref="A32:C32"/>
    <mergeCell ref="B61:C61"/>
    <mergeCell ref="B14:C14"/>
    <mergeCell ref="B57:C57"/>
    <mergeCell ref="B8:C8"/>
    <mergeCell ref="A43:C43"/>
    <mergeCell ref="B53:C53"/>
    <mergeCell ref="B13:C13"/>
    <mergeCell ref="B38:C38"/>
    <mergeCell ref="B29:C29"/>
    <mergeCell ref="B37:C37"/>
    <mergeCell ref="B34:C34"/>
    <mergeCell ref="E19:K19"/>
    <mergeCell ref="B6:C6"/>
    <mergeCell ref="B33:C33"/>
    <mergeCell ref="A1:C1"/>
    <mergeCell ref="B5:C5"/>
    <mergeCell ref="E30:K30"/>
    <mergeCell ref="B20:C20"/>
    <mergeCell ref="B51:C51"/>
    <mergeCell ref="E35:G35"/>
    <mergeCell ref="B63:C63"/>
    <mergeCell ref="B36:C36"/>
    <mergeCell ref="B41:C41"/>
    <mergeCell ref="B4:C4"/>
  </mergeCells>
  <dataValidations count="4">
    <dataValidation sqref="B4" showDropDown="0" showInputMessage="1" showErrorMessage="1" allowBlank="1" prompt="Select Gender" type="list">
      <formula1>"MALE,FEMALE"</formula1>
    </dataValidation>
    <dataValidation sqref="B5" showDropDown="0" showInputMessage="1" showErrorMessage="1" allowBlank="1" type="list">
      <formula1>"MARRIED,UNMARRIED"</formula1>
    </dataValidation>
    <dataValidation sqref="B53" showDropDown="0" showInputMessage="1" showErrorMessage="1" allowBlank="1" type="list">
      <formula1>"DONE,PENDING,HOLD"</formula1>
    </dataValidation>
    <dataValidation sqref="B59:B61" showDropDown="0" showInputMessage="1" showErrorMessage="1" allowBlank="1" type="list">
      <formula1>"NO,YES"</formula1>
    </dataValidation>
  </dataValidation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Akshay Jain</dc:creator>
  <dcterms:created xsi:type="dcterms:W3CDTF">2026-03-20T11:04:00Z</dcterms:created>
  <dcterms:modified xsi:type="dcterms:W3CDTF">2026-07-02T13:05:54Z</dcterms:modified>
  <cp:lastModifiedBy>Mohd Adnan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2E61587627B64097A623E13DF7E4C23F_13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