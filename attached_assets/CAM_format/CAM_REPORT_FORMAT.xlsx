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ohdAdnan\Downloads\"/>
    </mc:Choice>
  </mc:AlternateContent>
  <xr:revisionPtr revIDLastSave="0" documentId="13_ncr:1_{B8B51D35-B33E-4A07-B22D-2D52F57C930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F13" i="1" s="1"/>
  <c r="B6" i="1"/>
  <c r="B39" i="1"/>
  <c r="B37" i="1"/>
  <c r="B36" i="1"/>
  <c r="B35" i="1"/>
  <c r="F33" i="1"/>
  <c r="B34" i="1" s="1"/>
  <c r="K27" i="1"/>
  <c r="J27" i="1"/>
  <c r="I27" i="1"/>
  <c r="H27" i="1"/>
  <c r="G27" i="1"/>
  <c r="F27" i="1"/>
  <c r="B15" i="1"/>
  <c r="E14" i="1"/>
  <c r="I10" i="1"/>
  <c r="F14" i="1" s="1"/>
  <c r="H10" i="1"/>
  <c r="G10" i="1"/>
  <c r="F10" i="1"/>
  <c r="B9" i="1"/>
  <c r="K32" i="1"/>
  <c r="J32" i="1"/>
  <c r="I32" i="1"/>
  <c r="G32" i="1"/>
  <c r="F32" i="1"/>
  <c r="H32" i="1"/>
  <c r="F28" i="1" l="1"/>
  <c r="B38" i="1" s="1"/>
  <c r="F15" i="1"/>
  <c r="F16" i="1" s="1"/>
</calcChain>
</file>

<file path=xl/sharedStrings.xml><?xml version="1.0" encoding="utf-8"?>
<sst xmlns="http://schemas.openxmlformats.org/spreadsheetml/2006/main" count="139" uniqueCount="132">
  <si>
    <t>DETAILS SHEET FOR PROFESSIONAL LOAN</t>
  </si>
  <si>
    <t>TRADELINES</t>
  </si>
  <si>
    <t>MEMBER NAME</t>
  </si>
  <si>
    <t>SANCTION AMOUNT</t>
  </si>
  <si>
    <t>CURRENT BALANCE</t>
  </si>
  <si>
    <t>EMI AMOUNT</t>
  </si>
  <si>
    <t>START</t>
  </si>
  <si>
    <t>CLOSED</t>
  </si>
  <si>
    <t>CUSTOMER NAME</t>
  </si>
  <si>
    <t>PROFESSIONAL</t>
  </si>
  <si>
    <t>CHOLA</t>
  </si>
  <si>
    <t>LOGGED IN</t>
  </si>
  <si>
    <t>BL</t>
  </si>
  <si>
    <t>HDFC</t>
  </si>
  <si>
    <t>GENDER</t>
  </si>
  <si>
    <t>MALE</t>
  </si>
  <si>
    <t>BAJAJ</t>
  </si>
  <si>
    <t>MARITAL STATUS</t>
  </si>
  <si>
    <t>UNMARRIED</t>
  </si>
  <si>
    <t>AUTO</t>
  </si>
  <si>
    <t>MOTHER’ S NAME</t>
  </si>
  <si>
    <t>EDU</t>
  </si>
  <si>
    <t>CANERA</t>
  </si>
  <si>
    <t>FATHER’S NAME</t>
  </si>
  <si>
    <t>EMPLOYMENT TYPE</t>
  </si>
  <si>
    <t>SALARIED | CONSULTANT</t>
  </si>
  <si>
    <t>TOTAL MONTHLY INCOME</t>
  </si>
  <si>
    <t>MODE  ⏬</t>
  </si>
  <si>
    <t>MONTHLY SALARY</t>
  </si>
  <si>
    <t>ACCOUNT</t>
  </si>
  <si>
    <t>ADDITIONAL INCOME</t>
  </si>
  <si>
    <t>CONSULTANCY</t>
  </si>
  <si>
    <t>CASH</t>
  </si>
  <si>
    <t>MONTHLY INCOME</t>
  </si>
  <si>
    <t>ITR FY 2024-25 &amp; 2025-26</t>
  </si>
  <si>
    <t>FOIR (%)</t>
  </si>
  <si>
    <t>DATE OF BIRTH</t>
  </si>
  <si>
    <t>CUSTOMER'S AGE</t>
  </si>
  <si>
    <t>SECURED CAP</t>
  </si>
  <si>
    <t>CUSTOMER MOBILE NUMBER</t>
  </si>
  <si>
    <t>UNSECURED CAP</t>
  </si>
  <si>
    <t>CUSTOMER MAIL ID</t>
  </si>
  <si>
    <t>CASE ELIGIBILITY</t>
  </si>
  <si>
    <t>HOUSE TYPE: (OWNED/RENTED/HOSTEL)</t>
  </si>
  <si>
    <t>CURRENT ADDRESS</t>
  </si>
  <si>
    <t>SBI</t>
  </si>
  <si>
    <t>CURRENT RESIDENCE VINTAGE</t>
  </si>
  <si>
    <t>5th</t>
  </si>
  <si>
    <t>WORKING ADDRESS</t>
  </si>
  <si>
    <t>10th</t>
  </si>
  <si>
    <t>PERMANENT ADDRESS</t>
  </si>
  <si>
    <t>15th</t>
  </si>
  <si>
    <t>PROFESSION DETAILS</t>
  </si>
  <si>
    <t>20th</t>
  </si>
  <si>
    <t>DOCTOR / CA / CS</t>
  </si>
  <si>
    <t>MEDICAL</t>
  </si>
  <si>
    <t>25th</t>
  </si>
  <si>
    <t>HIGHEST DEGREE</t>
  </si>
  <si>
    <t>MBBS | MS</t>
  </si>
  <si>
    <t>30th</t>
  </si>
  <si>
    <t>REGISTRATION YEAR</t>
  </si>
  <si>
    <t>2019 | 2025</t>
  </si>
  <si>
    <t>EXPEREINCE</t>
  </si>
  <si>
    <t>7 YEARS</t>
  </si>
  <si>
    <t>ABB</t>
  </si>
  <si>
    <t>PG PURSUING</t>
  </si>
  <si>
    <t>NO</t>
  </si>
  <si>
    <t>COLLAGE NAME</t>
  </si>
  <si>
    <t>MONTLY CREDIT REPORT</t>
  </si>
  <si>
    <t>BANKING DETAILS</t>
  </si>
  <si>
    <t>AMOUNT</t>
  </si>
  <si>
    <t>CIBIL SCORE</t>
  </si>
  <si>
    <t>NO. OF CREDIT</t>
  </si>
  <si>
    <t>BANKING</t>
  </si>
  <si>
    <t>AVERAGE MONTHLY CREDIT</t>
  </si>
  <si>
    <t>TOTAL ACTIVE LOAN (COUNT/AMOUNT)</t>
  </si>
  <si>
    <t>BOUNCE DATA</t>
  </si>
  <si>
    <t>BANK/NBFC NAME(FROM WHERE LOAN RUNNING)</t>
  </si>
  <si>
    <t>MONTH RANGE</t>
  </si>
  <si>
    <t>NO. OF BOUNCE</t>
  </si>
  <si>
    <t>PAID WITHIN 7 DAYS</t>
  </si>
  <si>
    <t>EMI PAYING PER MONTH</t>
  </si>
  <si>
    <t>LAST 1 MONTH</t>
  </si>
  <si>
    <t>ABB LAST 6 MONTH</t>
  </si>
  <si>
    <t>LAST 2 MONTH</t>
  </si>
  <si>
    <t>TOTAL BOUNCING IN LAST 6 MONHTS</t>
  </si>
  <si>
    <t>LAST 3 MONTH</t>
  </si>
  <si>
    <t>TOTAL ENQUIRY IN LAST 3 MONTHS</t>
  </si>
  <si>
    <t>LAST 4 -6 MONTH</t>
  </si>
  <si>
    <t>NOMINEE DETAILS</t>
  </si>
  <si>
    <t>LAST 7 -12 MONTH</t>
  </si>
  <si>
    <t>NOMINEE NAME</t>
  </si>
  <si>
    <t>RELATIONSHIP WITH CUSTOMER</t>
  </si>
  <si>
    <t>RETURN CHARGES</t>
  </si>
  <si>
    <t>AGE</t>
  </si>
  <si>
    <t>DATE</t>
  </si>
  <si>
    <t>CHARGE</t>
  </si>
  <si>
    <t>REFERANCE</t>
  </si>
  <si>
    <t>REFERANCE 1  NAME</t>
  </si>
  <si>
    <t>NUMBER</t>
  </si>
  <si>
    <t>REFERANCE 2 NAME</t>
  </si>
  <si>
    <t>TVR</t>
  </si>
  <si>
    <t>DONE</t>
  </si>
  <si>
    <t>STAY WITH OR WITHOUT FAMILY</t>
  </si>
  <si>
    <t>Income Head</t>
  </si>
  <si>
    <t>Amount</t>
  </si>
  <si>
    <t>REQUIRED AMOUNT</t>
  </si>
  <si>
    <t>Salary Income</t>
  </si>
  <si>
    <t>8,67,483</t>
  </si>
  <si>
    <t>REASON</t>
  </si>
  <si>
    <t>Short-Term Capital Gains (STCG)</t>
  </si>
  <si>
    <t>UTILIZATION OF PREVIOUS OD</t>
  </si>
  <si>
    <t>Long-Term Capital Gains (LTCG)</t>
  </si>
  <si>
    <t>PENDING DOCUMENTS</t>
  </si>
  <si>
    <t>Virtual Digital Asset (Crypto) Income</t>
  </si>
  <si>
    <t>TRADING IN STOCK MARKETS</t>
  </si>
  <si>
    <t>Other Sources (Interest Income)</t>
  </si>
  <si>
    <t>1,74,398</t>
  </si>
  <si>
    <t>POLICE POLITITIAN LAWYER IN FAMILY</t>
  </si>
  <si>
    <t>Total Gross Income (approx.)</t>
  </si>
  <si>
    <t>10.71 Lakhs</t>
  </si>
  <si>
    <t>ANY OTHER DOCTORS IN FAMILY</t>
  </si>
  <si>
    <t>PAIN POINTS</t>
  </si>
  <si>
    <t>CREDIT REMARK</t>
  </si>
  <si>
    <t>PROFILE SUMMARY</t>
  </si>
  <si>
    <t>Mr. ABC John Dee</t>
  </si>
  <si>
    <t>Father's name</t>
  </si>
  <si>
    <t>Which lender the file is logged in with(to be filled manually by credit team)</t>
  </si>
  <si>
    <t>current address</t>
  </si>
  <si>
    <t>working address</t>
  </si>
  <si>
    <t>permanent address</t>
  </si>
  <si>
    <t>TOTAL ENQUIRY IN LAST 6 MONTHS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</si>
</sst>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₹&quot;\ #,##0.00;[Red]&quot;₹&quot;\ \-#,##0.00"/>
    <numFmt numFmtId="43" formatCode="_ * #,##0.00_ ;_ * \-#,##0.00_ ;_ * &quot;-&quot;??_ ;_ @_ "/>
    <numFmt numFmtId="166" formatCode="&quot;₹&quot;\ #,##0.00"/>
    <numFmt numFmtId="167" formatCode="[$-F800]dddd\,\ mmmm\ dd\,\ yyyy"/>
  </numFmts>
  <fonts count="1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000000"/>
      <name val="Calibri"/>
      <charset val="134"/>
      <scheme val="minor"/>
    </font>
    <font>
      <b/>
      <sz val="11"/>
      <color indexed="8"/>
      <name val="Calibri"/>
      <charset val="134"/>
    </font>
    <font>
      <b/>
      <sz val="11"/>
      <color theme="1"/>
      <name val="Calibri"/>
      <charset val="134"/>
    </font>
    <font>
      <b/>
      <sz val="11"/>
      <color theme="0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sz val="11"/>
      <color rgb="FF000000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rgb="FF9C0006"/>
      <name val="Calibri"/>
      <charset val="134"/>
      <scheme val="minor"/>
    </font>
    <font>
      <sz val="11"/>
      <color rgb="FF313131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9" tint="0.39988402966399123"/>
        <bgColor indexed="64"/>
      </patternFill>
    </fill>
    <fill>
      <patternFill patternType="solid">
        <fgColor theme="9" tint="0.799890133365886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069185460982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8901333658864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79857783745845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6">
    <xf numFmtId="0" fontId="0" fillId="0" borderId="0"/>
    <xf numFmtId="43" fontId="14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12" fillId="12" borderId="0" applyNumberFormat="0" applyBorder="0" applyAlignment="0" applyProtection="0"/>
    <xf numFmtId="0" fontId="13" fillId="5" borderId="0" applyNumberFormat="0" applyBorder="0" applyAlignment="0" applyProtection="0"/>
    <xf numFmtId="0" fontId="13" fillId="4" borderId="0" applyNumberFormat="0" applyBorder="0" applyAlignment="0" applyProtection="0"/>
  </cellStyleXfs>
  <cellXfs count="94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6" fontId="3" fillId="0" borderId="1" xfId="0" applyNumberFormat="1" applyFont="1" applyBorder="1" applyAlignment="1">
      <alignment horizontal="center" vertical="center"/>
    </xf>
    <xf numFmtId="17" fontId="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8" fontId="4" fillId="0" borderId="1" xfId="0" applyNumberFormat="1" applyFont="1" applyBorder="1" applyAlignment="1">
      <alignment horizontal="center" vertical="center"/>
    </xf>
    <xf numFmtId="17" fontId="4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66" fontId="4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 wrapText="1"/>
    </xf>
    <xf numFmtId="166" fontId="5" fillId="4" borderId="1" xfId="5" applyNumberFormat="1" applyFont="1" applyBorder="1" applyAlignment="1">
      <alignment horizontal="center" vertical="center"/>
    </xf>
    <xf numFmtId="166" fontId="5" fillId="5" borderId="1" xfId="4" applyNumberFormat="1" applyFon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5" fillId="5" borderId="1" xfId="4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9" fontId="1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7" fontId="1" fillId="0" borderId="1" xfId="0" applyNumberFormat="1" applyFont="1" applyBorder="1" applyAlignment="1">
      <alignment horizontal="center" vertical="center"/>
    </xf>
    <xf numFmtId="43" fontId="0" fillId="0" borderId="1" xfId="1" applyFont="1" applyBorder="1" applyAlignment="1">
      <alignment horizontal="center" vertical="center"/>
    </xf>
    <xf numFmtId="4" fontId="0" fillId="0" borderId="1" xfId="0" applyNumberFormat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left" vertical="center" wrapText="1"/>
    </xf>
    <xf numFmtId="8" fontId="8" fillId="0" borderId="1" xfId="0" applyNumberFormat="1" applyFont="1" applyBorder="1" applyAlignment="1">
      <alignment horizontal="center" vertical="center"/>
    </xf>
    <xf numFmtId="8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8" fontId="1" fillId="0" borderId="0" xfId="0" applyNumberFormat="1" applyFont="1" applyAlignment="1">
      <alignment horizontal="center" vertical="center"/>
    </xf>
    <xf numFmtId="0" fontId="0" fillId="9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vertical="center"/>
    </xf>
    <xf numFmtId="4" fontId="0" fillId="0" borderId="0" xfId="0" applyNumberForma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9" borderId="1" xfId="0" applyFill="1" applyBorder="1" applyAlignment="1">
      <alignment horizontal="left" vertical="center" wrapText="1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7" fontId="0" fillId="0" borderId="4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3" borderId="1" xfId="0" applyFill="1" applyBorder="1" applyAlignment="1">
      <alignment horizontal="left" vertical="center" wrapText="1"/>
    </xf>
    <xf numFmtId="0" fontId="0" fillId="14" borderId="1" xfId="0" applyFill="1" applyBorder="1" applyAlignment="1">
      <alignment horizontal="left" vertical="center" wrapText="1"/>
    </xf>
    <xf numFmtId="167" fontId="0" fillId="0" borderId="7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22" fontId="1" fillId="9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right"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right" wrapText="1"/>
    </xf>
    <xf numFmtId="3" fontId="0" fillId="0" borderId="1" xfId="0" applyNumberFormat="1" applyBorder="1" applyAlignment="1">
      <alignment horizontal="right" wrapText="1"/>
    </xf>
    <xf numFmtId="0" fontId="1" fillId="0" borderId="1" xfId="0" applyFont="1" applyBorder="1" applyAlignment="1">
      <alignment wrapText="1"/>
    </xf>
    <xf numFmtId="0" fontId="1" fillId="15" borderId="1" xfId="0" applyFont="1" applyFill="1" applyBorder="1" applyAlignment="1">
      <alignment horizontal="left" vertical="center" wrapText="1"/>
    </xf>
    <xf numFmtId="0" fontId="2" fillId="14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3" fontId="1" fillId="6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1" xfId="2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8" fontId="1" fillId="0" borderId="1" xfId="0" applyNumberFormat="1" applyFont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 wrapText="1"/>
    </xf>
    <xf numFmtId="8" fontId="1" fillId="0" borderId="1" xfId="0" applyNumberFormat="1" applyFont="1" applyBorder="1" applyAlignment="1">
      <alignment horizontal="center" vertical="center" wrapText="1"/>
    </xf>
    <xf numFmtId="3" fontId="0" fillId="9" borderId="1" xfId="0" applyNumberForma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 wrapText="1"/>
    </xf>
    <xf numFmtId="8" fontId="0" fillId="0" borderId="1" xfId="0" applyNumberFormat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10" fillId="12" borderId="1" xfId="3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" fillId="15" borderId="1" xfId="0" applyFont="1" applyFill="1" applyBorder="1" applyAlignment="1">
      <alignment vertical="center" wrapText="1"/>
    </xf>
    <xf numFmtId="0" fontId="7" fillId="14" borderId="1" xfId="0" applyFont="1" applyFill="1" applyBorder="1" applyAlignment="1">
      <alignment horizontal="center" vertical="center" wrapText="1"/>
    </xf>
  </cellXfs>
  <cellStyles count="6">
    <cellStyle name="Accent1" xfId="4" builtinId="29"/>
    <cellStyle name="Accent2" xfId="5" builtinId="33"/>
    <cellStyle name="Bad" xfId="3" builtinId="27"/>
    <cellStyle name="Comma" xfId="1" builtinId="3"/>
    <cellStyle name="Hyperlink" xfId="2" builtinId="8"/>
    <cellStyle name="Normal" xfId="0" builtinId="0"/>
  </cellStyles>
  <dxfs count="9">
    <dxf>
      <font>
        <b val="0"/>
        <i val="0"/>
        <strike val="0"/>
        <u val="none"/>
        <sz val="12"/>
        <color theme="1"/>
        <name val="Tahoma"/>
        <family val="2"/>
        <scheme val="none"/>
      </font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2"/>
        <color theme="1"/>
        <name val="Tahoma"/>
        <family val="2"/>
        <scheme val="none"/>
      </font>
      <numFmt numFmtId="167" formatCode="[$-F800]dddd\,\ mmmm\ dd\,\ yyyy"/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u val="none"/>
        <sz val="11"/>
        <color theme="1"/>
        <name val="Calibri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u val="none"/>
        <sz val="11"/>
        <color theme="1"/>
        <name val="Calibri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u val="none"/>
        <sz val="11"/>
        <color theme="1"/>
        <name val="Calibri"/>
        <family val="2"/>
        <scheme val="none"/>
      </font>
      <numFmt numFmtId="166" formatCode="&quot;₹&quot;\ #,##0.00"/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u val="none"/>
        <sz val="11"/>
        <color theme="1"/>
        <name val="Calibri"/>
        <family val="2"/>
        <scheme val="none"/>
      </font>
      <numFmt numFmtId="166" formatCode="&quot;₹&quot;\ #,##0.00"/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u val="none"/>
        <sz val="11"/>
        <color theme="1"/>
        <name val="Calibri"/>
        <family val="2"/>
        <scheme val="none"/>
      </font>
      <numFmt numFmtId="166" formatCode="&quot;₹&quot;\ #,##0.00"/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u val="none"/>
        <sz val="11"/>
        <color theme="1"/>
        <name val="Calibri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u val="none"/>
        <sz val="11"/>
        <color theme="1"/>
        <name val="Calibri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E1:K10" totalsRowCount="1">
  <tableColumns count="7">
    <tableColumn id="1" xr3:uid="{00000000-0010-0000-0000-000001000000}" name="TRADELINES" dataDxfId="8"/>
    <tableColumn id="2" xr3:uid="{00000000-0010-0000-0000-000002000000}" name="MEMBER NAME" totalsRowFunction="count" dataDxfId="7"/>
    <tableColumn id="3" xr3:uid="{00000000-0010-0000-0000-000003000000}" name="SANCTION AMOUNT" totalsRowFunction="sum" dataDxfId="6"/>
    <tableColumn id="4" xr3:uid="{00000000-0010-0000-0000-000004000000}" name="CURRENT BALANCE" totalsRowFunction="sum" dataDxfId="5"/>
    <tableColumn id="5" xr3:uid="{00000000-0010-0000-0000-000005000000}" name="EMI AMOUNT" totalsRowFunction="sum" dataDxfId="4"/>
    <tableColumn id="6" xr3:uid="{00000000-0010-0000-0000-000006000000}" name="START" dataDxfId="3"/>
    <tableColumn id="7" xr3:uid="{00000000-0010-0000-0000-000007000000}" name="CLOSED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1" displayName="Table1" ref="E44:F50" totalsRowShown="0">
  <autoFilter ref="E44:F50" xr:uid="{00000000-0009-0000-0100-000002000000}"/>
  <tableColumns count="2">
    <tableColumn id="1" xr3:uid="{00000000-0010-0000-0100-000001000000}" name="DATE" dataDxfId="1"/>
    <tableColumn id="2" xr3:uid="{00000000-0010-0000-0100-000002000000}" name="CHARG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64"/>
  <sheetViews>
    <sheetView tabSelected="1" zoomScale="94" zoomScaleNormal="94" workbookViewId="0">
      <selection activeCell="F50" sqref="F50"/>
    </sheetView>
  </sheetViews>
  <sheetFormatPr defaultColWidth="9" defaultRowHeight="14.4"/>
  <cols>
    <col min="1" max="1" width="45.6640625" customWidth="1"/>
    <col min="2" max="2" width="39.33203125" customWidth="1"/>
    <col min="3" max="3" width="46" customWidth="1"/>
    <col min="4" max="4" width="1" customWidth="1"/>
    <col min="5" max="5" width="33.21875" customWidth="1"/>
    <col min="6" max="11" width="19.5546875" customWidth="1"/>
  </cols>
  <sheetData>
    <row r="1" spans="1:11" ht="15" customHeight="1">
      <c r="A1" s="64" t="s">
        <v>0</v>
      </c>
      <c r="B1" s="64"/>
      <c r="C1" s="64"/>
      <c r="D1" s="1"/>
      <c r="E1" s="2" t="s">
        <v>1</v>
      </c>
      <c r="F1" s="3" t="s">
        <v>2</v>
      </c>
      <c r="G1" s="3" t="s">
        <v>3</v>
      </c>
      <c r="H1" s="3" t="s">
        <v>4</v>
      </c>
      <c r="I1" s="3" t="s">
        <v>5</v>
      </c>
      <c r="J1" s="3" t="s">
        <v>6</v>
      </c>
      <c r="K1" s="3" t="s">
        <v>7</v>
      </c>
    </row>
    <row r="2" spans="1:11" ht="15" customHeight="1">
      <c r="A2" s="4" t="s">
        <v>8</v>
      </c>
      <c r="B2" s="65" t="s">
        <v>125</v>
      </c>
      <c r="C2" s="65"/>
      <c r="D2" s="1"/>
      <c r="E2" s="5" t="s">
        <v>9</v>
      </c>
      <c r="F2" s="5" t="s">
        <v>10</v>
      </c>
      <c r="G2" s="6">
        <v>1519819</v>
      </c>
      <c r="H2" s="6">
        <v>1519819</v>
      </c>
      <c r="I2" s="6">
        <v>40000</v>
      </c>
      <c r="J2" s="7">
        <v>46113</v>
      </c>
      <c r="K2" s="8"/>
    </row>
    <row r="3" spans="1:11" ht="15" customHeight="1">
      <c r="A3" s="4" t="s">
        <v>11</v>
      </c>
      <c r="B3" s="66" t="s">
        <v>127</v>
      </c>
      <c r="C3" s="66"/>
      <c r="D3" s="1"/>
      <c r="E3" s="5" t="s">
        <v>12</v>
      </c>
      <c r="F3" s="5" t="s">
        <v>13</v>
      </c>
      <c r="G3" s="6">
        <v>285907</v>
      </c>
      <c r="H3" s="6">
        <v>279991</v>
      </c>
      <c r="I3" s="6">
        <v>10000</v>
      </c>
      <c r="J3" s="7">
        <v>46082</v>
      </c>
      <c r="K3" s="9"/>
    </row>
    <row r="4" spans="1:11" ht="15" customHeight="1">
      <c r="A4" s="10" t="s">
        <v>14</v>
      </c>
      <c r="B4" s="67" t="s">
        <v>15</v>
      </c>
      <c r="C4" s="67"/>
      <c r="D4" s="1"/>
      <c r="E4" s="9" t="s">
        <v>9</v>
      </c>
      <c r="F4" s="9" t="s">
        <v>16</v>
      </c>
      <c r="G4" s="11">
        <v>1623729</v>
      </c>
      <c r="H4" s="11">
        <v>1623729</v>
      </c>
      <c r="I4" s="11">
        <v>20000</v>
      </c>
      <c r="J4" s="12">
        <v>45839</v>
      </c>
      <c r="K4" s="9"/>
    </row>
    <row r="5" spans="1:11" ht="15" customHeight="1">
      <c r="A5" s="13" t="s">
        <v>17</v>
      </c>
      <c r="B5" s="68" t="s">
        <v>18</v>
      </c>
      <c r="C5" s="68"/>
      <c r="D5" s="1"/>
      <c r="E5" s="9" t="s">
        <v>19</v>
      </c>
      <c r="F5" s="9" t="s">
        <v>13</v>
      </c>
      <c r="G5" s="15">
        <v>918998</v>
      </c>
      <c r="H5" s="15">
        <v>540105</v>
      </c>
      <c r="I5" s="15">
        <v>19000</v>
      </c>
      <c r="J5" s="12">
        <v>45261</v>
      </c>
      <c r="K5" s="9"/>
    </row>
    <row r="6" spans="1:11" ht="26.4" customHeight="1">
      <c r="A6" s="10" t="s">
        <v>20</v>
      </c>
      <c r="B6" s="67" t="str">
        <f>UPPER("Mother's name
")</f>
        <v xml:space="preserve">MOTHER'S NAME
</v>
      </c>
      <c r="C6" s="68"/>
      <c r="D6" s="1"/>
      <c r="E6" s="9" t="s">
        <v>21</v>
      </c>
      <c r="F6" s="9" t="s">
        <v>22</v>
      </c>
      <c r="G6" s="15">
        <v>6750000</v>
      </c>
      <c r="H6" s="15">
        <v>6650000</v>
      </c>
      <c r="I6" s="15"/>
      <c r="J6" s="12">
        <v>45139</v>
      </c>
      <c r="K6" s="9"/>
    </row>
    <row r="7" spans="1:11" ht="15" customHeight="1">
      <c r="A7" s="10" t="s">
        <v>23</v>
      </c>
      <c r="B7" s="68" t="s">
        <v>126</v>
      </c>
      <c r="C7" s="68"/>
      <c r="D7" s="1"/>
      <c r="E7" s="9"/>
      <c r="F7" s="9"/>
      <c r="G7" s="15"/>
      <c r="H7" s="15"/>
      <c r="I7" s="15"/>
      <c r="J7" s="9"/>
      <c r="K7" s="9"/>
    </row>
    <row r="8" spans="1:11" ht="15" customHeight="1">
      <c r="A8" s="16" t="s">
        <v>24</v>
      </c>
      <c r="B8" s="69" t="s">
        <v>25</v>
      </c>
      <c r="C8" s="69"/>
      <c r="D8" s="1"/>
      <c r="E8" s="9"/>
      <c r="F8" s="9"/>
      <c r="G8" s="15"/>
      <c r="H8" s="15"/>
      <c r="I8" s="15"/>
      <c r="J8" s="9"/>
      <c r="K8" s="9"/>
    </row>
    <row r="9" spans="1:11" ht="15" customHeight="1">
      <c r="A9" s="13" t="s">
        <v>26</v>
      </c>
      <c r="B9" s="17">
        <f>SUM(B10:B12)</f>
        <v>400000</v>
      </c>
      <c r="C9" s="18" t="s">
        <v>27</v>
      </c>
      <c r="D9" s="1"/>
      <c r="E9" s="9"/>
      <c r="F9" s="9"/>
      <c r="G9" s="15"/>
      <c r="H9" s="15"/>
      <c r="I9" s="15"/>
      <c r="J9" s="9"/>
      <c r="K9" s="9"/>
    </row>
    <row r="10" spans="1:11" ht="15" customHeight="1">
      <c r="A10" s="13" t="s">
        <v>28</v>
      </c>
      <c r="B10" s="19"/>
      <c r="C10" s="19" t="s">
        <v>29</v>
      </c>
      <c r="D10" s="1"/>
      <c r="E10" s="20"/>
      <c r="F10" s="20">
        <f>SUBTOTAL(103,Table2[MEMBER NAME])</f>
        <v>5</v>
      </c>
      <c r="G10" s="21">
        <f>SUBTOTAL(109,Table2[SANCTION AMOUNT])</f>
        <v>11098453</v>
      </c>
      <c r="H10" s="21">
        <f>SUBTOTAL(109,Table2[CURRENT BALANCE])</f>
        <v>10613644</v>
      </c>
      <c r="I10" s="21">
        <f>SUBTOTAL(109,Table2[EMI AMOUNT])</f>
        <v>89000</v>
      </c>
      <c r="J10" s="20"/>
      <c r="K10" s="20"/>
    </row>
    <row r="11" spans="1:11" ht="15" customHeight="1">
      <c r="A11" s="13" t="s">
        <v>30</v>
      </c>
      <c r="B11" s="19">
        <v>400000</v>
      </c>
      <c r="C11" s="19"/>
      <c r="D11" s="1"/>
      <c r="E11" s="22"/>
      <c r="F11" s="22"/>
      <c r="G11" s="23"/>
      <c r="H11" s="23"/>
      <c r="I11" s="23"/>
      <c r="J11" s="22"/>
      <c r="K11" s="22"/>
    </row>
    <row r="12" spans="1:11" ht="15" customHeight="1">
      <c r="A12" s="13" t="s">
        <v>31</v>
      </c>
      <c r="B12" s="19"/>
      <c r="C12" s="19" t="s">
        <v>32</v>
      </c>
      <c r="D12" s="1"/>
      <c r="E12" s="24" t="s">
        <v>33</v>
      </c>
      <c r="F12" s="18">
        <f>B9</f>
        <v>400000</v>
      </c>
      <c r="G12" s="23"/>
      <c r="H12" s="23"/>
      <c r="I12" s="23"/>
      <c r="J12" s="22"/>
      <c r="K12" s="22"/>
    </row>
    <row r="13" spans="1:11" ht="15" customHeight="1">
      <c r="A13" s="13" t="s">
        <v>34</v>
      </c>
      <c r="B13" s="19"/>
      <c r="C13" s="19"/>
      <c r="D13" s="1"/>
      <c r="E13" s="25" t="s">
        <v>35</v>
      </c>
      <c r="F13" s="26">
        <f>IF(F12&lt;50000,50%,IF(F12&lt;=100000,60%,70%))</f>
        <v>0.7</v>
      </c>
      <c r="G13" s="23"/>
      <c r="H13" s="23"/>
      <c r="I13" s="23"/>
      <c r="J13" s="22"/>
      <c r="K13" s="22"/>
    </row>
    <row r="14" spans="1:11" ht="15" customHeight="1">
      <c r="A14" s="10" t="s">
        <v>36</v>
      </c>
      <c r="B14" s="70">
        <v>34259</v>
      </c>
      <c r="C14" s="70"/>
      <c r="D14" s="1"/>
      <c r="E14" s="25" t="str">
        <f>UPPER("Existing EMI")</f>
        <v>EXISTING EMI</v>
      </c>
      <c r="F14" s="19">
        <f>I10</f>
        <v>89000</v>
      </c>
      <c r="G14" s="23"/>
      <c r="H14" s="23"/>
      <c r="I14" s="23"/>
      <c r="J14" s="22"/>
      <c r="K14" s="22"/>
    </row>
    <row r="15" spans="1:11" ht="15" customHeight="1">
      <c r="A15" s="13" t="s">
        <v>37</v>
      </c>
      <c r="B15" s="71" t="str">
        <f ca="1">YEAR(TODAY())-YEAR(B14)-IF(DATE(YEAR(TODAY()),MONTH(B14),DAY(B14))&gt;TODAY(),1,0)&amp;" YEARS OLD"</f>
        <v>32 YEARS OLD</v>
      </c>
      <c r="C15" s="71"/>
      <c r="D15" s="1"/>
      <c r="E15" s="25" t="s">
        <v>38</v>
      </c>
      <c r="F15" s="21">
        <f>((F12*F13)-F14)*100</f>
        <v>19100000</v>
      </c>
      <c r="G15" s="23"/>
      <c r="H15" s="23"/>
      <c r="I15" s="23"/>
      <c r="J15" s="22"/>
      <c r="K15" s="22"/>
    </row>
    <row r="16" spans="1:11" ht="15" customHeight="1">
      <c r="A16" s="10" t="s">
        <v>39</v>
      </c>
      <c r="B16" s="72">
        <v>9988775544</v>
      </c>
      <c r="C16" s="72"/>
      <c r="D16" s="1"/>
      <c r="E16" s="25" t="s">
        <v>40</v>
      </c>
      <c r="F16" s="21">
        <f>F15/2</f>
        <v>9550000</v>
      </c>
      <c r="G16" s="23"/>
      <c r="H16" s="23"/>
      <c r="I16" s="23"/>
      <c r="J16" s="22"/>
      <c r="K16" s="22"/>
    </row>
    <row r="17" spans="1:11" ht="15" customHeight="1">
      <c r="A17" s="10" t="s">
        <v>41</v>
      </c>
      <c r="B17" s="73"/>
      <c r="C17" s="73"/>
      <c r="D17" s="1"/>
      <c r="E17" s="25" t="s">
        <v>42</v>
      </c>
      <c r="F17" s="14"/>
      <c r="G17" s="23"/>
      <c r="H17" s="23"/>
      <c r="I17" s="23"/>
      <c r="J17" s="22"/>
      <c r="K17" s="22"/>
    </row>
    <row r="18" spans="1:11">
      <c r="A18" s="13" t="s">
        <v>43</v>
      </c>
      <c r="B18" s="74"/>
      <c r="C18" s="74"/>
      <c r="D18" s="1"/>
      <c r="E18" s="22"/>
      <c r="F18" s="22"/>
      <c r="G18" s="23"/>
      <c r="H18" s="23"/>
      <c r="I18" s="23"/>
      <c r="J18" s="22"/>
      <c r="K18" s="22"/>
    </row>
    <row r="19" spans="1:11">
      <c r="A19" s="25" t="s">
        <v>44</v>
      </c>
      <c r="B19" s="74" t="s">
        <v>128</v>
      </c>
      <c r="C19" s="74"/>
      <c r="D19" s="1"/>
      <c r="E19" s="72" t="s">
        <v>45</v>
      </c>
      <c r="F19" s="72"/>
      <c r="G19" s="72"/>
      <c r="H19" s="72"/>
      <c r="I19" s="72"/>
      <c r="J19" s="72"/>
      <c r="K19" s="72"/>
    </row>
    <row r="20" spans="1:11">
      <c r="A20" s="25" t="s">
        <v>46</v>
      </c>
      <c r="B20" s="27"/>
      <c r="C20" s="27"/>
      <c r="D20" s="1"/>
      <c r="E20" s="20"/>
      <c r="F20" s="28">
        <v>45962</v>
      </c>
      <c r="G20" s="28">
        <v>45992</v>
      </c>
      <c r="H20" s="28">
        <v>46023</v>
      </c>
      <c r="I20" s="28">
        <v>46054</v>
      </c>
      <c r="J20" s="28">
        <v>46082</v>
      </c>
      <c r="K20" s="28">
        <v>46113</v>
      </c>
    </row>
    <row r="21" spans="1:11">
      <c r="A21" s="25" t="s">
        <v>31</v>
      </c>
      <c r="B21" s="74"/>
      <c r="C21" s="74"/>
      <c r="D21" s="1"/>
      <c r="E21" s="20" t="s">
        <v>47</v>
      </c>
      <c r="F21" s="29">
        <v>17181.93</v>
      </c>
      <c r="G21" s="29">
        <v>18378.599999999999</v>
      </c>
      <c r="H21" s="30">
        <v>76252.95</v>
      </c>
      <c r="I21" s="30">
        <v>15977.49</v>
      </c>
      <c r="J21" s="30">
        <v>3780.13</v>
      </c>
      <c r="K21" s="30"/>
    </row>
    <row r="22" spans="1:11" ht="31.05" customHeight="1">
      <c r="A22" s="25" t="s">
        <v>48</v>
      </c>
      <c r="B22" s="67" t="s">
        <v>129</v>
      </c>
      <c r="C22" s="67"/>
      <c r="D22" s="1"/>
      <c r="E22" s="20" t="s">
        <v>49</v>
      </c>
      <c r="F22" s="29">
        <v>50177.93</v>
      </c>
      <c r="G22" s="29">
        <v>6716.6</v>
      </c>
      <c r="H22" s="30">
        <v>48077.95</v>
      </c>
      <c r="I22" s="30">
        <v>70859.490000000005</v>
      </c>
      <c r="J22" s="30">
        <v>19142.259999999998</v>
      </c>
      <c r="K22" s="30"/>
    </row>
    <row r="23" spans="1:11" ht="37.950000000000003" customHeight="1">
      <c r="A23" s="25" t="s">
        <v>50</v>
      </c>
      <c r="B23" s="74" t="s">
        <v>130</v>
      </c>
      <c r="C23" s="74"/>
      <c r="D23" s="1"/>
      <c r="E23" s="20" t="s">
        <v>51</v>
      </c>
      <c r="F23" s="29">
        <v>36243.78</v>
      </c>
      <c r="G23" s="29">
        <v>6129.6</v>
      </c>
      <c r="H23" s="30">
        <v>29928.95</v>
      </c>
      <c r="I23" s="30">
        <v>30476.78</v>
      </c>
      <c r="J23" s="30">
        <v>16862.18</v>
      </c>
      <c r="K23" s="30"/>
    </row>
    <row r="24" spans="1:11" ht="15" customHeight="1">
      <c r="A24" s="64" t="s">
        <v>52</v>
      </c>
      <c r="B24" s="64"/>
      <c r="C24" s="64"/>
      <c r="D24" s="1"/>
      <c r="E24" s="20" t="s">
        <v>53</v>
      </c>
      <c r="F24" s="29">
        <v>31845.599999999999</v>
      </c>
      <c r="G24" s="29">
        <v>1052.75</v>
      </c>
      <c r="H24" s="30">
        <v>27431.82</v>
      </c>
      <c r="I24" s="30">
        <v>30250.080000000002</v>
      </c>
      <c r="J24" s="30">
        <v>16626.18</v>
      </c>
      <c r="K24" s="30"/>
    </row>
    <row r="25" spans="1:11" ht="15" customHeight="1">
      <c r="A25" s="10" t="s">
        <v>54</v>
      </c>
      <c r="B25" s="75" t="s">
        <v>55</v>
      </c>
      <c r="C25" s="75"/>
      <c r="D25" s="1"/>
      <c r="E25" s="20" t="s">
        <v>56</v>
      </c>
      <c r="F25" s="29">
        <v>28908.6</v>
      </c>
      <c r="G25" s="29">
        <v>9789.75</v>
      </c>
      <c r="H25" s="30">
        <v>22986.21</v>
      </c>
      <c r="I25" s="30">
        <v>30565.38</v>
      </c>
      <c r="J25" s="30">
        <v>16550.73</v>
      </c>
      <c r="K25" s="30"/>
    </row>
    <row r="26" spans="1:11" ht="15" customHeight="1">
      <c r="A26" s="32" t="s">
        <v>57</v>
      </c>
      <c r="B26" s="76" t="s">
        <v>58</v>
      </c>
      <c r="C26" s="76"/>
      <c r="D26" s="1"/>
      <c r="E26" s="20" t="s">
        <v>59</v>
      </c>
      <c r="F26" s="29">
        <v>31528.6</v>
      </c>
      <c r="G26" s="29">
        <v>8493.9500000000007</v>
      </c>
      <c r="H26" s="30">
        <v>39765.49</v>
      </c>
      <c r="I26" s="30">
        <v>27335.13</v>
      </c>
      <c r="J26" s="30">
        <v>15510.26</v>
      </c>
      <c r="K26" s="30"/>
    </row>
    <row r="27" spans="1:11" ht="15" customHeight="1">
      <c r="A27" s="32" t="s">
        <v>60</v>
      </c>
      <c r="B27" s="68" t="s">
        <v>61</v>
      </c>
      <c r="C27" s="68"/>
      <c r="D27" s="1"/>
      <c r="E27" s="20"/>
      <c r="F27" s="33">
        <f t="shared" ref="F27:K27" si="0">IFERROR(AVERAGE(F21:F26),"Banking Missing")</f>
        <v>32647.74</v>
      </c>
      <c r="G27" s="33">
        <f t="shared" si="0"/>
        <v>8426.875</v>
      </c>
      <c r="H27" s="33">
        <f t="shared" si="0"/>
        <v>40740.561666666668</v>
      </c>
      <c r="I27" s="33">
        <f t="shared" si="0"/>
        <v>34244.058333333342</v>
      </c>
      <c r="J27" s="33">
        <f t="shared" si="0"/>
        <v>14745.289999999999</v>
      </c>
      <c r="K27" s="33" t="str">
        <f t="shared" si="0"/>
        <v>Banking Missing</v>
      </c>
    </row>
    <row r="28" spans="1:11">
      <c r="A28" s="10" t="s">
        <v>62</v>
      </c>
      <c r="B28" s="68" t="s">
        <v>63</v>
      </c>
      <c r="C28" s="68"/>
      <c r="D28" s="1"/>
      <c r="E28" s="20" t="s">
        <v>64</v>
      </c>
      <c r="F28" s="77">
        <f>IFERROR(AVERAGE(F27:K27),"Banking Not Provided")</f>
        <v>26160.905000000002</v>
      </c>
      <c r="G28" s="77"/>
      <c r="H28" s="77"/>
      <c r="I28" s="77"/>
      <c r="J28" s="77"/>
      <c r="K28" s="77"/>
    </row>
    <row r="29" spans="1:11">
      <c r="A29" s="10" t="s">
        <v>65</v>
      </c>
      <c r="B29" s="14" t="s">
        <v>66</v>
      </c>
      <c r="C29" s="14"/>
      <c r="D29" s="1"/>
      <c r="E29" s="35"/>
      <c r="F29" s="36"/>
      <c r="G29" s="22"/>
      <c r="H29" s="22"/>
      <c r="I29" s="22"/>
      <c r="J29" s="22"/>
      <c r="K29" s="22"/>
    </row>
    <row r="30" spans="1:11">
      <c r="A30" s="10" t="s">
        <v>67</v>
      </c>
      <c r="B30" s="68"/>
      <c r="C30" s="68"/>
      <c r="D30" s="1"/>
      <c r="E30" s="78" t="s">
        <v>68</v>
      </c>
      <c r="F30" s="79"/>
      <c r="G30" s="79"/>
      <c r="H30" s="79"/>
      <c r="I30" s="79"/>
      <c r="J30" s="79"/>
      <c r="K30" s="80"/>
    </row>
    <row r="31" spans="1:11">
      <c r="A31" s="64" t="s">
        <v>69</v>
      </c>
      <c r="B31" s="64"/>
      <c r="C31" s="64"/>
      <c r="D31" s="1"/>
      <c r="E31" s="20" t="s">
        <v>70</v>
      </c>
      <c r="F31" s="34"/>
      <c r="G31" s="34"/>
      <c r="H31" s="34"/>
      <c r="I31" s="34"/>
      <c r="J31" s="34"/>
      <c r="K31" s="34"/>
    </row>
    <row r="32" spans="1:11" ht="15" customHeight="1">
      <c r="A32" s="37" t="s">
        <v>71</v>
      </c>
      <c r="B32" s="81">
        <v>711</v>
      </c>
      <c r="C32" s="81"/>
      <c r="D32" s="1"/>
      <c r="E32" s="31" t="s">
        <v>72</v>
      </c>
      <c r="F32" s="39">
        <f ca="1">IFERROR(LEN(_xlfn.FORMULATEXT(F31))-LEN(SUBSTITUTE(_xlfn.FORMULATEXT(F31),"+",""))+1,0)</f>
        <v>0</v>
      </c>
      <c r="G32" s="39">
        <f t="shared" ref="G32:K32" ca="1" si="1">IFERROR(LEN(_xlfn.FORMULATEXT(G31))-LEN(SUBSTITUTE(_xlfn.FORMULATEXT(G31),"+",""))+1,0)</f>
        <v>0</v>
      </c>
      <c r="H32" s="39">
        <f t="shared" ca="1" si="1"/>
        <v>0</v>
      </c>
      <c r="I32" s="39">
        <f t="shared" ca="1" si="1"/>
        <v>0</v>
      </c>
      <c r="J32" s="39">
        <f t="shared" ca="1" si="1"/>
        <v>0</v>
      </c>
      <c r="K32" s="39">
        <f t="shared" ca="1" si="1"/>
        <v>0</v>
      </c>
    </row>
    <row r="33" spans="1:11" ht="15" customHeight="1">
      <c r="A33" s="37" t="s">
        <v>73</v>
      </c>
      <c r="B33" s="82"/>
      <c r="C33" s="82"/>
      <c r="D33" s="1"/>
      <c r="E33" s="31" t="s">
        <v>74</v>
      </c>
      <c r="F33" s="83">
        <f>IFERROR(AVERAGE(F31:K31),0)</f>
        <v>0</v>
      </c>
      <c r="G33" s="83"/>
      <c r="H33" s="83"/>
      <c r="I33" s="83"/>
      <c r="J33" s="83"/>
      <c r="K33" s="83"/>
    </row>
    <row r="34" spans="1:11" ht="15" customHeight="1">
      <c r="A34" s="37" t="s">
        <v>74</v>
      </c>
      <c r="B34" s="84">
        <f>F33</f>
        <v>0</v>
      </c>
      <c r="C34" s="84"/>
      <c r="D34" s="1"/>
      <c r="E34" s="35"/>
      <c r="F34" s="36"/>
      <c r="G34" s="22"/>
      <c r="H34" s="22"/>
      <c r="I34" s="22"/>
      <c r="J34" s="22"/>
      <c r="K34" s="22"/>
    </row>
    <row r="35" spans="1:11" ht="15" customHeight="1">
      <c r="A35" s="32" t="s">
        <v>75</v>
      </c>
      <c r="B35" s="81" t="str">
        <f>COUNTA(F2:F9)&amp;" | LOANS"</f>
        <v>5 | LOANS</v>
      </c>
      <c r="C35" s="81"/>
      <c r="D35" s="1"/>
      <c r="E35" s="85" t="s">
        <v>76</v>
      </c>
      <c r="F35" s="85"/>
      <c r="G35" s="85"/>
      <c r="H35" s="22"/>
      <c r="I35" s="22"/>
      <c r="J35" s="22"/>
      <c r="K35" s="22"/>
    </row>
    <row r="36" spans="1:11" ht="15" customHeight="1">
      <c r="A36" s="32" t="s">
        <v>77</v>
      </c>
      <c r="B36" s="82" t="str">
        <f>_xlfn.TEXTJOIN(" | ",TRUE,F2:F9)</f>
        <v>CHOLA | HDFC | BAJAJ | HDFC | CANERA</v>
      </c>
      <c r="C36" s="86"/>
      <c r="D36" s="1"/>
      <c r="E36" s="42" t="s">
        <v>78</v>
      </c>
      <c r="F36" s="42" t="s">
        <v>79</v>
      </c>
      <c r="G36" s="42" t="s">
        <v>80</v>
      </c>
      <c r="H36" s="43"/>
      <c r="I36" s="44"/>
      <c r="J36" s="43"/>
      <c r="K36" s="22"/>
    </row>
    <row r="37" spans="1:11" ht="15" customHeight="1">
      <c r="A37" s="32" t="s">
        <v>81</v>
      </c>
      <c r="B37" s="87">
        <f>SUM(I2:I9)</f>
        <v>89000</v>
      </c>
      <c r="C37" s="87"/>
      <c r="D37" s="1"/>
      <c r="E37" s="45" t="s">
        <v>82</v>
      </c>
      <c r="F37" s="45"/>
      <c r="G37" s="45"/>
      <c r="H37" s="22"/>
      <c r="I37" s="44"/>
      <c r="J37" s="43"/>
      <c r="K37" s="22"/>
    </row>
    <row r="38" spans="1:11" ht="15" customHeight="1">
      <c r="A38" s="46" t="s">
        <v>83</v>
      </c>
      <c r="B38" s="77">
        <f>F28</f>
        <v>26160.905000000002</v>
      </c>
      <c r="C38" s="77"/>
      <c r="D38" s="1"/>
      <c r="E38" s="45" t="s">
        <v>84</v>
      </c>
      <c r="F38" s="45"/>
      <c r="G38" s="45"/>
      <c r="H38" s="43"/>
      <c r="I38" s="44"/>
      <c r="J38" s="43"/>
      <c r="K38" s="22"/>
    </row>
    <row r="39" spans="1:11" ht="15" customHeight="1">
      <c r="A39" s="32" t="s">
        <v>85</v>
      </c>
      <c r="B39" s="88" t="str">
        <f>IF(COUNTA(Table1[DATE])=0,"NO BOUNCE",COUNTA(Table1[DATE]))</f>
        <v>NO BOUNCE</v>
      </c>
      <c r="C39" s="88"/>
      <c r="D39" s="1"/>
      <c r="E39" s="45" t="s">
        <v>86</v>
      </c>
      <c r="F39" s="45"/>
      <c r="G39" s="45"/>
      <c r="H39" s="43"/>
      <c r="I39" s="44"/>
      <c r="J39" s="43"/>
      <c r="K39" s="22"/>
    </row>
    <row r="40" spans="1:11" ht="15" customHeight="1">
      <c r="A40" s="46" t="s">
        <v>87</v>
      </c>
      <c r="B40" s="81"/>
      <c r="C40" s="81"/>
      <c r="D40" s="1"/>
      <c r="E40" s="45" t="s">
        <v>88</v>
      </c>
      <c r="F40" s="45"/>
      <c r="G40" s="45"/>
      <c r="H40" s="22"/>
      <c r="I40" s="44"/>
      <c r="J40" s="43"/>
      <c r="K40" s="22"/>
    </row>
    <row r="41" spans="1:11" ht="15" customHeight="1">
      <c r="A41" s="46" t="s">
        <v>131</v>
      </c>
      <c r="B41" s="38"/>
      <c r="C41" s="38"/>
      <c r="D41" s="1"/>
      <c r="E41" s="45" t="s">
        <v>90</v>
      </c>
      <c r="F41" s="45"/>
      <c r="G41" s="45"/>
      <c r="H41" s="22"/>
      <c r="I41" s="44"/>
      <c r="J41" s="43"/>
      <c r="K41" s="22"/>
    </row>
    <row r="42" spans="1:11" ht="15" customHeight="1">
      <c r="A42" s="64" t="s">
        <v>89</v>
      </c>
      <c r="B42" s="64"/>
      <c r="C42" s="64"/>
      <c r="D42" s="1"/>
      <c r="E42" s="22"/>
      <c r="F42" s="22"/>
      <c r="G42" s="22"/>
      <c r="H42" s="22"/>
      <c r="I42" s="44"/>
      <c r="J42" s="43"/>
      <c r="K42" s="22"/>
    </row>
    <row r="43" spans="1:11" ht="15" customHeight="1">
      <c r="A43" s="10" t="s">
        <v>91</v>
      </c>
      <c r="B43" s="74"/>
      <c r="C43" s="74"/>
      <c r="D43" s="1"/>
      <c r="E43" s="89" t="s">
        <v>93</v>
      </c>
      <c r="F43" s="89"/>
      <c r="G43" s="22"/>
      <c r="H43" s="22"/>
      <c r="I43" s="44"/>
      <c r="J43" s="22"/>
      <c r="K43" s="22"/>
    </row>
    <row r="44" spans="1:11" ht="15" customHeight="1">
      <c r="A44" s="10" t="s">
        <v>92</v>
      </c>
      <c r="B44" s="68"/>
      <c r="C44" s="68"/>
      <c r="D44" s="1"/>
      <c r="E44" s="47" t="s">
        <v>95</v>
      </c>
      <c r="F44" s="48" t="s">
        <v>96</v>
      </c>
      <c r="G44" s="22"/>
      <c r="H44" s="22"/>
      <c r="I44" s="44"/>
      <c r="J44" s="22"/>
      <c r="K44" s="22"/>
    </row>
    <row r="45" spans="1:11" ht="15" customHeight="1">
      <c r="A45" s="10" t="s">
        <v>94</v>
      </c>
      <c r="B45" s="68"/>
      <c r="C45" s="68"/>
      <c r="D45" s="1"/>
      <c r="E45" s="49"/>
      <c r="F45" s="50"/>
      <c r="G45" s="22"/>
      <c r="H45" s="22"/>
      <c r="I45" s="22"/>
      <c r="J45" s="22"/>
      <c r="K45" s="22"/>
    </row>
    <row r="46" spans="1:11" ht="15" customHeight="1">
      <c r="A46" s="64" t="s">
        <v>97</v>
      </c>
      <c r="B46" s="64"/>
      <c r="C46" s="64"/>
      <c r="D46" s="1"/>
      <c r="E46" s="49"/>
      <c r="F46" s="50"/>
      <c r="G46" s="22"/>
      <c r="H46" s="22"/>
      <c r="I46" s="22"/>
      <c r="J46" s="22"/>
      <c r="K46" s="22"/>
    </row>
    <row r="47" spans="1:11" ht="15" customHeight="1">
      <c r="A47" s="51" t="s">
        <v>98</v>
      </c>
      <c r="B47" s="74"/>
      <c r="C47" s="74"/>
      <c r="D47" s="1"/>
      <c r="E47" s="49"/>
      <c r="F47" s="50"/>
      <c r="G47" s="22"/>
      <c r="H47" s="22"/>
      <c r="I47" s="22"/>
      <c r="J47" s="22"/>
      <c r="K47" s="22"/>
    </row>
    <row r="48" spans="1:11" ht="15" customHeight="1">
      <c r="A48" s="51" t="s">
        <v>99</v>
      </c>
      <c r="B48" s="74"/>
      <c r="C48" s="74"/>
      <c r="D48" s="1"/>
      <c r="E48" s="49"/>
      <c r="F48" s="50"/>
      <c r="G48" s="22"/>
      <c r="H48" s="22"/>
      <c r="I48" s="22"/>
      <c r="J48" s="22"/>
      <c r="K48" s="22"/>
    </row>
    <row r="49" spans="1:11" ht="15" customHeight="1">
      <c r="A49" s="51" t="s">
        <v>92</v>
      </c>
      <c r="B49" s="74"/>
      <c r="C49" s="74"/>
      <c r="D49" s="1"/>
      <c r="E49" s="49"/>
      <c r="F49" s="50"/>
      <c r="G49" s="22"/>
      <c r="H49" s="22"/>
      <c r="I49" s="22"/>
      <c r="J49" s="22"/>
      <c r="K49" s="22"/>
    </row>
    <row r="50" spans="1:11" ht="15" customHeight="1">
      <c r="A50" s="52" t="s">
        <v>100</v>
      </c>
      <c r="B50" s="68"/>
      <c r="C50" s="68"/>
      <c r="D50" s="1"/>
      <c r="E50" s="53"/>
      <c r="F50" s="54"/>
      <c r="G50" s="22"/>
      <c r="H50" s="22"/>
      <c r="I50" s="22"/>
      <c r="J50" s="22"/>
      <c r="K50" s="22"/>
    </row>
    <row r="51" spans="1:11" ht="15" customHeight="1">
      <c r="A51" s="52" t="s">
        <v>99</v>
      </c>
      <c r="B51" s="90"/>
      <c r="C51" s="90"/>
      <c r="D51" s="1"/>
      <c r="E51" s="53"/>
      <c r="F51" s="54"/>
      <c r="G51" s="22"/>
      <c r="H51" s="22"/>
      <c r="I51" s="22"/>
      <c r="J51" s="22"/>
      <c r="K51" s="22"/>
    </row>
    <row r="52" spans="1:11" ht="15" customHeight="1">
      <c r="A52" s="52" t="s">
        <v>92</v>
      </c>
      <c r="B52" s="67"/>
      <c r="C52" s="67"/>
      <c r="D52" s="1"/>
      <c r="E52" s="53"/>
      <c r="F52" s="54"/>
      <c r="G52" s="22"/>
      <c r="H52" s="22"/>
      <c r="I52" s="22"/>
      <c r="J52" s="22"/>
      <c r="K52" s="22"/>
    </row>
    <row r="53" spans="1:11" ht="15" customHeight="1">
      <c r="A53" s="4" t="s">
        <v>101</v>
      </c>
      <c r="B53" s="41" t="s">
        <v>102</v>
      </c>
      <c r="C53" s="55">
        <v>46163.624374999999</v>
      </c>
      <c r="D53" s="1"/>
      <c r="E53" s="56" t="s">
        <v>104</v>
      </c>
      <c r="F53" s="57" t="s">
        <v>105</v>
      </c>
      <c r="G53" s="22"/>
      <c r="H53" s="22"/>
      <c r="I53" s="22"/>
      <c r="J53" s="22"/>
      <c r="K53" s="22"/>
    </row>
    <row r="54" spans="1:11" ht="15" customHeight="1">
      <c r="A54" s="25" t="s">
        <v>103</v>
      </c>
      <c r="B54" s="82"/>
      <c r="C54" s="82"/>
      <c r="D54" s="1"/>
      <c r="E54" s="58" t="s">
        <v>107</v>
      </c>
      <c r="F54" s="59" t="s">
        <v>108</v>
      </c>
      <c r="G54" s="22"/>
      <c r="H54" s="22"/>
      <c r="I54" s="22"/>
      <c r="J54" s="22"/>
      <c r="K54" s="22"/>
    </row>
    <row r="55" spans="1:11" ht="15" customHeight="1">
      <c r="A55" s="25" t="s">
        <v>106</v>
      </c>
      <c r="B55" s="82"/>
      <c r="C55" s="82"/>
      <c r="D55" s="1"/>
      <c r="E55" s="58" t="s">
        <v>110</v>
      </c>
      <c r="F55" s="60">
        <v>22154</v>
      </c>
      <c r="G55" s="22"/>
      <c r="H55" s="22"/>
      <c r="I55" s="22"/>
      <c r="J55" s="22"/>
      <c r="K55" s="22"/>
    </row>
    <row r="56" spans="1:11" ht="15" customHeight="1">
      <c r="A56" s="25" t="s">
        <v>109</v>
      </c>
      <c r="B56" s="82"/>
      <c r="C56" s="82"/>
      <c r="D56" s="1"/>
      <c r="E56" s="58" t="s">
        <v>112</v>
      </c>
      <c r="F56" s="60">
        <v>7390</v>
      </c>
      <c r="G56" s="22"/>
      <c r="H56" s="22"/>
      <c r="I56" s="22"/>
      <c r="J56" s="22"/>
      <c r="K56" s="22"/>
    </row>
    <row r="57" spans="1:11" ht="15" customHeight="1">
      <c r="A57" s="25" t="s">
        <v>111</v>
      </c>
      <c r="B57" s="40"/>
      <c r="C57" s="40"/>
      <c r="D57" s="1"/>
      <c r="E57" s="58" t="s">
        <v>114</v>
      </c>
      <c r="F57" s="59">
        <v>144</v>
      </c>
      <c r="G57" s="22"/>
      <c r="H57" s="22"/>
      <c r="I57" s="22"/>
      <c r="J57" s="22"/>
      <c r="K57" s="22"/>
    </row>
    <row r="58" spans="1:11" ht="15" customHeight="1">
      <c r="A58" s="25" t="s">
        <v>113</v>
      </c>
      <c r="B58" s="82"/>
      <c r="C58" s="82"/>
      <c r="D58" s="1"/>
      <c r="E58" s="58" t="s">
        <v>116</v>
      </c>
      <c r="F58" s="59" t="s">
        <v>117</v>
      </c>
      <c r="G58" s="22"/>
      <c r="H58" s="22"/>
      <c r="I58" s="22"/>
      <c r="J58" s="22"/>
      <c r="K58" s="22"/>
    </row>
    <row r="59" spans="1:11">
      <c r="A59" s="25" t="s">
        <v>115</v>
      </c>
      <c r="B59" s="82"/>
      <c r="C59" s="82"/>
      <c r="D59" s="1"/>
      <c r="E59" s="61" t="s">
        <v>119</v>
      </c>
      <c r="F59" s="57" t="s">
        <v>120</v>
      </c>
      <c r="G59" s="22"/>
      <c r="H59" s="22"/>
      <c r="I59" s="22"/>
      <c r="J59" s="22"/>
      <c r="K59" s="22"/>
    </row>
    <row r="60" spans="1:11" ht="15" customHeight="1">
      <c r="A60" s="25" t="s">
        <v>118</v>
      </c>
      <c r="B60" s="82"/>
      <c r="C60" s="82"/>
      <c r="D60" s="1"/>
      <c r="E60" s="22"/>
      <c r="F60" s="22"/>
      <c r="G60" s="22"/>
      <c r="H60" s="22"/>
      <c r="I60" s="22"/>
      <c r="J60" s="22"/>
      <c r="K60" s="22"/>
    </row>
    <row r="61" spans="1:11">
      <c r="A61" s="25" t="s">
        <v>121</v>
      </c>
      <c r="B61" s="82"/>
      <c r="C61" s="82"/>
    </row>
    <row r="62" spans="1:11" ht="178.05" customHeight="1">
      <c r="A62" s="25" t="s">
        <v>122</v>
      </c>
      <c r="B62" s="91"/>
      <c r="C62" s="91"/>
    </row>
    <row r="63" spans="1:11" ht="217.95" customHeight="1">
      <c r="A63" s="62" t="s">
        <v>123</v>
      </c>
      <c r="B63" s="92"/>
      <c r="C63" s="92"/>
    </row>
    <row r="64" spans="1:11">
      <c r="A64" s="63" t="s">
        <v>124</v>
      </c>
      <c r="B64" s="93"/>
      <c r="C64" s="93"/>
    </row>
  </sheetData>
  <mergeCells count="60">
    <mergeCell ref="B61:C61"/>
    <mergeCell ref="B62:C62"/>
    <mergeCell ref="B63:C63"/>
    <mergeCell ref="B64:C64"/>
    <mergeCell ref="B55:C55"/>
    <mergeCell ref="B56:C56"/>
    <mergeCell ref="B58:C58"/>
    <mergeCell ref="B59:C59"/>
    <mergeCell ref="B60:C60"/>
    <mergeCell ref="B49:C49"/>
    <mergeCell ref="B50:C50"/>
    <mergeCell ref="B51:C51"/>
    <mergeCell ref="B52:C52"/>
    <mergeCell ref="B54:C54"/>
    <mergeCell ref="E43:F43"/>
    <mergeCell ref="B45:C45"/>
    <mergeCell ref="A46:C46"/>
    <mergeCell ref="B47:C47"/>
    <mergeCell ref="B48:C48"/>
    <mergeCell ref="B39:C39"/>
    <mergeCell ref="B40:C40"/>
    <mergeCell ref="A42:C42"/>
    <mergeCell ref="B43:C43"/>
    <mergeCell ref="B44:C44"/>
    <mergeCell ref="B35:C35"/>
    <mergeCell ref="E35:G35"/>
    <mergeCell ref="B36:C36"/>
    <mergeCell ref="B37:C37"/>
    <mergeCell ref="B38:C38"/>
    <mergeCell ref="A31:C31"/>
    <mergeCell ref="B32:C32"/>
    <mergeCell ref="B33:C33"/>
    <mergeCell ref="F33:K33"/>
    <mergeCell ref="B34:C34"/>
    <mergeCell ref="B26:C26"/>
    <mergeCell ref="B27:C27"/>
    <mergeCell ref="B28:C28"/>
    <mergeCell ref="F28:K28"/>
    <mergeCell ref="B30:C30"/>
    <mergeCell ref="E30:K30"/>
    <mergeCell ref="B21:C21"/>
    <mergeCell ref="B22:C22"/>
    <mergeCell ref="B23:C23"/>
    <mergeCell ref="A24:C24"/>
    <mergeCell ref="B25:C25"/>
    <mergeCell ref="B16:C16"/>
    <mergeCell ref="B17:C17"/>
    <mergeCell ref="B18:C18"/>
    <mergeCell ref="B19:C19"/>
    <mergeCell ref="E19:K19"/>
    <mergeCell ref="B6:C6"/>
    <mergeCell ref="B7:C7"/>
    <mergeCell ref="B8:C8"/>
    <mergeCell ref="B14:C14"/>
    <mergeCell ref="B15:C15"/>
    <mergeCell ref="A1:C1"/>
    <mergeCell ref="B2:C2"/>
    <mergeCell ref="B3:C3"/>
    <mergeCell ref="B4:C4"/>
    <mergeCell ref="B5:C5"/>
  </mergeCells>
  <dataValidations count="5">
    <dataValidation type="list" allowBlank="1" showInputMessage="1" showErrorMessage="1" prompt="Select Gender" sqref="B4" xr:uid="{00000000-0002-0000-0000-000000000000}">
      <formula1>"MALE,FEMALE"</formula1>
    </dataValidation>
    <dataValidation type="list" allowBlank="1" showInputMessage="1" showErrorMessage="1" sqref="B5" xr:uid="{00000000-0002-0000-0000-000001000000}">
      <formula1>"MARRIED,UNMARRIED"</formula1>
    </dataValidation>
    <dataValidation type="list" allowBlank="1" showInputMessage="1" showErrorMessage="1" sqref="B29 B54 G37:G41" xr:uid="{00000000-0002-0000-0000-000002000000}">
      <formula1>"YES,NO"</formula1>
    </dataValidation>
    <dataValidation type="list" allowBlank="1" showInputMessage="1" showErrorMessage="1" sqref="B53" xr:uid="{00000000-0002-0000-0000-000003000000}">
      <formula1>"DONE,PENDING,HOLD"</formula1>
    </dataValidation>
    <dataValidation type="list" allowBlank="1" showInputMessage="1" showErrorMessage="1" sqref="B59:B61" xr:uid="{00000000-0002-0000-0000-000004000000}">
      <formula1>"NO,YES"</formula1>
    </dataValidation>
  </dataValidations>
  <pageMargins left="0.7" right="0.7" top="0.75" bottom="0.75" header="0.3" footer="0.3"/>
  <ignoredErrors>
    <ignoredError sqref="B8:B9 H27:K27" formulaRange="1"/>
  </ignoredErrors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Akshay Jain</dc:creator>
  <cp:lastModifiedBy>Mohd Adnan</cp:lastModifiedBy>
  <dcterms:created xsi:type="dcterms:W3CDTF">2026-03-20T11:04:00Z</dcterms:created>
  <dcterms:modified xsi:type="dcterms:W3CDTF">2026-06-13T05:40:32Z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2E61587627B64097A623E13DF7E4C23F_13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